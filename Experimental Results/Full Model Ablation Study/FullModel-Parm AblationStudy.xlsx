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 Work\TrainResults\Full Model Comparing\"/>
    </mc:Choice>
  </mc:AlternateContent>
  <xr:revisionPtr revIDLastSave="0" documentId="13_ncr:1_{2AC3F8A9-42AE-4033-8671-D3CA12A0A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48" i="1" l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N148" i="1"/>
  <c r="M148" i="1"/>
  <c r="L148" i="1"/>
  <c r="K148" i="1"/>
  <c r="J148" i="1"/>
  <c r="I148" i="1"/>
  <c r="H148" i="1"/>
  <c r="G148" i="1"/>
  <c r="N146" i="1"/>
  <c r="M146" i="1"/>
  <c r="L146" i="1"/>
  <c r="K146" i="1"/>
  <c r="J146" i="1"/>
  <c r="I146" i="1"/>
  <c r="H146" i="1"/>
  <c r="G146" i="1"/>
  <c r="R120" i="1"/>
  <c r="Q120" i="1"/>
  <c r="P120" i="1"/>
  <c r="O120" i="1"/>
  <c r="N120" i="1"/>
  <c r="M120" i="1"/>
  <c r="R118" i="1"/>
  <c r="Q118" i="1"/>
  <c r="P118" i="1"/>
  <c r="O118" i="1"/>
  <c r="N118" i="1"/>
  <c r="M118" i="1"/>
  <c r="R93" i="1"/>
  <c r="Q93" i="1"/>
  <c r="P93" i="1"/>
  <c r="O93" i="1"/>
  <c r="N93" i="1"/>
  <c r="M93" i="1"/>
  <c r="L93" i="1"/>
  <c r="K93" i="1"/>
  <c r="J93" i="1"/>
  <c r="I93" i="1"/>
  <c r="H93" i="1"/>
  <c r="G93" i="1"/>
  <c r="R91" i="1"/>
  <c r="Q91" i="1"/>
  <c r="P91" i="1"/>
  <c r="O91" i="1"/>
  <c r="N91" i="1"/>
  <c r="M91" i="1"/>
  <c r="L91" i="1"/>
  <c r="K91" i="1"/>
  <c r="J91" i="1"/>
  <c r="I91" i="1"/>
  <c r="H91" i="1"/>
  <c r="G91" i="1"/>
  <c r="P65" i="1"/>
  <c r="O65" i="1"/>
  <c r="N65" i="1"/>
  <c r="M65" i="1"/>
  <c r="L65" i="1"/>
  <c r="K65" i="1"/>
  <c r="J65" i="1"/>
  <c r="I65" i="1"/>
  <c r="P63" i="1"/>
  <c r="O63" i="1"/>
  <c r="N63" i="1"/>
  <c r="M63" i="1"/>
  <c r="L63" i="1"/>
  <c r="K63" i="1"/>
  <c r="J63" i="1"/>
  <c r="I63" i="1"/>
  <c r="Z39" i="1"/>
  <c r="Y39" i="1"/>
  <c r="X39" i="1"/>
  <c r="W39" i="1"/>
  <c r="V39" i="1"/>
  <c r="U39" i="1"/>
  <c r="T39" i="1"/>
  <c r="S39" i="1"/>
  <c r="R39" i="1"/>
  <c r="Q39" i="1"/>
  <c r="P39" i="1"/>
  <c r="O39" i="1"/>
  <c r="Z37" i="1"/>
  <c r="Y37" i="1"/>
  <c r="X37" i="1"/>
  <c r="W37" i="1"/>
  <c r="V37" i="1"/>
  <c r="U37" i="1"/>
  <c r="T37" i="1"/>
  <c r="S37" i="1"/>
  <c r="R37" i="1"/>
  <c r="Q37" i="1"/>
  <c r="P37" i="1"/>
  <c r="O37" i="1"/>
  <c r="N175" i="1"/>
  <c r="M175" i="1"/>
  <c r="L175" i="1"/>
  <c r="K175" i="1"/>
  <c r="J175" i="1"/>
  <c r="I175" i="1"/>
  <c r="H175" i="1"/>
  <c r="G175" i="1"/>
  <c r="E175" i="1"/>
  <c r="N173" i="1"/>
  <c r="M173" i="1"/>
  <c r="L173" i="1"/>
  <c r="K173" i="1"/>
  <c r="J173" i="1"/>
  <c r="I173" i="1"/>
  <c r="H173" i="1"/>
  <c r="G173" i="1"/>
  <c r="E173" i="1"/>
  <c r="S93" i="1" l="1"/>
  <c r="S91" i="1"/>
  <c r="E148" i="1"/>
  <c r="E146" i="1"/>
  <c r="G120" i="1"/>
  <c r="G118" i="1"/>
  <c r="H120" i="1"/>
  <c r="H118" i="1"/>
  <c r="E120" i="1"/>
  <c r="E118" i="1"/>
  <c r="E93" i="1"/>
  <c r="E91" i="1"/>
  <c r="H65" i="1"/>
  <c r="G65" i="1"/>
  <c r="F65" i="1"/>
  <c r="H63" i="1"/>
  <c r="G63" i="1"/>
  <c r="F63" i="1"/>
  <c r="E65" i="1"/>
  <c r="E63" i="1"/>
  <c r="G12" i="1"/>
  <c r="G10" i="1"/>
  <c r="H12" i="1"/>
  <c r="H10" i="1"/>
  <c r="G39" i="1"/>
  <c r="H39" i="1"/>
  <c r="G37" i="1"/>
  <c r="H37" i="1"/>
  <c r="K39" i="1"/>
  <c r="K37" i="1"/>
  <c r="Z120" i="1"/>
  <c r="Y120" i="1"/>
  <c r="X120" i="1"/>
  <c r="V120" i="1"/>
  <c r="U120" i="1"/>
  <c r="T120" i="1"/>
  <c r="J120" i="1"/>
  <c r="I120" i="1"/>
  <c r="Z118" i="1"/>
  <c r="Y118" i="1"/>
  <c r="X118" i="1"/>
  <c r="V118" i="1"/>
  <c r="U118" i="1"/>
  <c r="T118" i="1"/>
  <c r="J118" i="1"/>
  <c r="I118" i="1"/>
  <c r="V93" i="1"/>
  <c r="U93" i="1"/>
  <c r="T93" i="1"/>
  <c r="V91" i="1"/>
  <c r="U91" i="1"/>
  <c r="T91" i="1"/>
  <c r="Z65" i="1"/>
  <c r="Y65" i="1"/>
  <c r="X65" i="1"/>
  <c r="V65" i="1"/>
  <c r="U65" i="1"/>
  <c r="T65" i="1"/>
  <c r="R65" i="1"/>
  <c r="Q65" i="1"/>
  <c r="Z63" i="1"/>
  <c r="Y63" i="1"/>
  <c r="X63" i="1"/>
  <c r="V63" i="1"/>
  <c r="U63" i="1"/>
  <c r="T63" i="1"/>
  <c r="R63" i="1"/>
  <c r="Q63" i="1"/>
  <c r="L39" i="1"/>
  <c r="J39" i="1"/>
  <c r="I39" i="1"/>
  <c r="E39" i="1"/>
  <c r="L37" i="1"/>
  <c r="J37" i="1"/>
  <c r="I37" i="1"/>
  <c r="E37" i="1"/>
  <c r="E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E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</calcChain>
</file>

<file path=xl/sharedStrings.xml><?xml version="1.0" encoding="utf-8"?>
<sst xmlns="http://schemas.openxmlformats.org/spreadsheetml/2006/main" count="371" uniqueCount="93">
  <si>
    <t>2 C</t>
  </si>
  <si>
    <t>3 C</t>
  </si>
  <si>
    <t>FN</t>
  </si>
  <si>
    <t>FP</t>
  </si>
  <si>
    <t>Acc</t>
  </si>
  <si>
    <t>Prec</t>
  </si>
  <si>
    <t>Recall</t>
  </si>
  <si>
    <t>F1-Score</t>
  </si>
  <si>
    <t>Dataset</t>
  </si>
  <si>
    <t>FN %</t>
  </si>
  <si>
    <t>FP %</t>
  </si>
  <si>
    <t>Total Instances</t>
  </si>
  <si>
    <t>Full Model:</t>
  </si>
  <si>
    <t>Class. Step</t>
  </si>
  <si>
    <t xml:space="preserve">1CW by Yolo Th. =  0.15 </t>
  </si>
  <si>
    <t>Class. Train Acc</t>
  </si>
  <si>
    <t>DS image size 320</t>
  </si>
  <si>
    <t>Classifier Decay Step</t>
  </si>
  <si>
    <t>Backbone Network</t>
  </si>
  <si>
    <t>Network</t>
  </si>
  <si>
    <t>ResNet 101</t>
  </si>
  <si>
    <t>ResNet 50</t>
  </si>
  <si>
    <t>ResNet 18</t>
  </si>
  <si>
    <t>VGG16</t>
  </si>
  <si>
    <t>Activation fn. / Calibration</t>
  </si>
  <si>
    <t>Calibration</t>
  </si>
  <si>
    <t>Act. / Calib.</t>
  </si>
  <si>
    <t># of epochs</t>
  </si>
  <si>
    <t>Step 3</t>
  </si>
  <si>
    <t>Step 16</t>
  </si>
  <si>
    <t># epochs</t>
  </si>
  <si>
    <t>train time (hrs)</t>
  </si>
  <si>
    <t>infer. Time (ms)</t>
  </si>
  <si>
    <t>mAP .5</t>
  </si>
  <si>
    <t>mAP .5:.95</t>
  </si>
  <si>
    <t>YOLO</t>
  </si>
  <si>
    <t>Class.</t>
  </si>
  <si>
    <t>Class. Auto Th.</t>
  </si>
  <si>
    <t>Mod. Acc</t>
  </si>
  <si>
    <t># of classes</t>
  </si>
  <si>
    <t>2 CW : changing FN &amp; FP with diff # of epochs</t>
  </si>
  <si>
    <t>3 CW : changing FN &amp; FP with diff # of epochs</t>
  </si>
  <si>
    <t>Step size</t>
  </si>
  <si>
    <t>DS size</t>
  </si>
  <si>
    <t>320 B64</t>
  </si>
  <si>
    <t>Diff. DS size</t>
  </si>
  <si>
    <t>100 epochs</t>
  </si>
  <si>
    <t>2-Class DS</t>
  </si>
  <si>
    <t>step size</t>
  </si>
  <si>
    <t>100e</t>
  </si>
  <si>
    <t>fig. 12</t>
  </si>
  <si>
    <t>fig. 10</t>
  </si>
  <si>
    <t>fig. 9</t>
  </si>
  <si>
    <t>fig. 11</t>
  </si>
  <si>
    <t>fig. 8</t>
  </si>
  <si>
    <t>step 16</t>
  </si>
  <si>
    <t>Act : sm</t>
  </si>
  <si>
    <t>Diff Optimizer</t>
  </si>
  <si>
    <t>fig. 13</t>
  </si>
  <si>
    <t>Static Threshold</t>
  </si>
  <si>
    <t>Auto Threshold</t>
  </si>
  <si>
    <t>Softmax Fn.</t>
  </si>
  <si>
    <t>sgd</t>
  </si>
  <si>
    <t>adam</t>
  </si>
  <si>
    <t>nadam</t>
  </si>
  <si>
    <t>Act. Fn. Sm</t>
  </si>
  <si>
    <t>static Class. Th.</t>
  </si>
  <si>
    <t>XGB train time</t>
  </si>
  <si>
    <t>2 min</t>
  </si>
  <si>
    <t>original best</t>
  </si>
  <si>
    <t>1.25 min</t>
  </si>
  <si>
    <t>original</t>
  </si>
  <si>
    <t>step 3</t>
  </si>
  <si>
    <t>Step 16 - Static Th.</t>
  </si>
  <si>
    <t>ResNet-101 + XGB</t>
  </si>
  <si>
    <t>fig. 15</t>
  </si>
  <si>
    <t>ResNet101+XGB</t>
  </si>
  <si>
    <t>fig. 17</t>
  </si>
  <si>
    <t>Calib</t>
  </si>
  <si>
    <t>Diff Class. TH.</t>
  </si>
  <si>
    <t>Last Weights of classifier on this run</t>
  </si>
  <si>
    <t>infer. Time (ms) Y</t>
  </si>
  <si>
    <t>infer. Time (ms) Cls</t>
  </si>
  <si>
    <t>ResNet101</t>
  </si>
  <si>
    <t>ResNet50</t>
  </si>
  <si>
    <t>Act. Fn.: Sm</t>
  </si>
  <si>
    <t>LR 0.001</t>
  </si>
  <si>
    <t>adam 100e</t>
  </si>
  <si>
    <t>adam 200e</t>
  </si>
  <si>
    <t>adam 300e</t>
  </si>
  <si>
    <t>sgd 100e</t>
  </si>
  <si>
    <t>sgd 200e</t>
  </si>
  <si>
    <t>sgd 300e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</si>
</sst>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"/>
      <color theme="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/>
    <xf numFmtId="0" fontId="0" fillId="6" borderId="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0" xfId="0" applyFill="1"/>
    <xf numFmtId="0" fontId="3" fillId="7" borderId="0" xfId="0" applyFont="1" applyFill="1"/>
    <xf numFmtId="0" fontId="0" fillId="4" borderId="4" xfId="0" applyFill="1" applyBorder="1"/>
    <xf numFmtId="0" fontId="0" fillId="4" borderId="3" xfId="0" applyFill="1" applyBorder="1"/>
    <xf numFmtId="0" fontId="0" fillId="7" borderId="1" xfId="0" applyFill="1" applyBorder="1"/>
    <xf numFmtId="0" fontId="0" fillId="0" borderId="1" xfId="0" applyBorder="1"/>
    <xf numFmtId="0" fontId="0" fillId="7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4" borderId="4" xfId="0" applyFont="1" applyFill="1" applyBorder="1"/>
    <xf numFmtId="0" fontId="0" fillId="4" borderId="6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9" fontId="0" fillId="8" borderId="1" xfId="1" applyFont="1" applyFill="1" applyBorder="1" applyAlignment="1">
      <alignment horizontal="center"/>
    </xf>
    <xf numFmtId="9" fontId="0" fillId="8" borderId="5" xfId="1" applyFont="1" applyFill="1" applyBorder="1" applyAlignment="1">
      <alignment horizontal="center"/>
    </xf>
    <xf numFmtId="9" fontId="0" fillId="8" borderId="6" xfId="1" applyFont="1" applyFill="1" applyBorder="1" applyAlignment="1">
      <alignment horizontal="center"/>
    </xf>
    <xf numFmtId="9" fontId="5" fillId="8" borderId="1" xfId="1" applyFont="1" applyFill="1" applyBorder="1" applyAlignment="1">
      <alignment horizontal="center"/>
    </xf>
    <xf numFmtId="0" fontId="0" fillId="8" borderId="1" xfId="0" applyFill="1" applyBorder="1"/>
    <xf numFmtId="0" fontId="2" fillId="8" borderId="1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5" xfId="0" applyBorder="1"/>
    <xf numFmtId="0" fontId="0" fillId="8" borderId="5" xfId="0" applyFill="1" applyBorder="1"/>
    <xf numFmtId="0" fontId="5" fillId="6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1" fillId="8" borderId="1" xfId="1" applyFont="1" applyFill="1" applyBorder="1" applyAlignment="1">
      <alignment horizontal="center"/>
    </xf>
    <xf numFmtId="9" fontId="2" fillId="8" borderId="1" xfId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0" borderId="5" xfId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1" xfId="1" applyFont="1" applyBorder="1" applyAlignment="1">
      <alignment horizontal="center"/>
    </xf>
    <xf numFmtId="9" fontId="5" fillId="0" borderId="5" xfId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7" fillId="0" borderId="0" xfId="0" applyFont="1"/>
    <xf numFmtId="0" fontId="5" fillId="9" borderId="6" xfId="0" applyFont="1" applyFill="1" applyBorder="1" applyAlignment="1">
      <alignment horizontal="center"/>
    </xf>
    <xf numFmtId="9" fontId="5" fillId="9" borderId="6" xfId="1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9" fontId="5" fillId="10" borderId="6" xfId="1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9" fontId="0" fillId="9" borderId="6" xfId="1" applyFont="1" applyFill="1" applyBorder="1" applyAlignment="1">
      <alignment horizontal="center"/>
    </xf>
    <xf numFmtId="9" fontId="5" fillId="0" borderId="1" xfId="1" applyFont="1" applyFill="1" applyBorder="1" applyAlignment="1">
      <alignment horizontal="center"/>
    </xf>
    <xf numFmtId="9" fontId="0" fillId="9" borderId="1" xfId="1" applyFont="1" applyFill="1" applyBorder="1" applyAlignment="1">
      <alignment horizontal="center"/>
    </xf>
    <xf numFmtId="9" fontId="0" fillId="0" borderId="5" xfId="1" applyFont="1" applyFill="1" applyBorder="1" applyAlignment="1">
      <alignment horizontal="center"/>
    </xf>
    <xf numFmtId="9" fontId="0" fillId="11" borderId="5" xfId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9" fontId="0" fillId="10" borderId="6" xfId="1" applyFont="1" applyFill="1" applyBorder="1" applyAlignment="1">
      <alignment horizontal="center"/>
    </xf>
    <xf numFmtId="9" fontId="0" fillId="10" borderId="5" xfId="1" applyFont="1" applyFill="1" applyBorder="1" applyAlignment="1">
      <alignment horizontal="center"/>
    </xf>
    <xf numFmtId="9" fontId="0" fillId="10" borderId="1" xfId="1" applyFont="1" applyFill="1" applyBorder="1" applyAlignment="1">
      <alignment horizontal="center"/>
    </xf>
    <xf numFmtId="9" fontId="1" fillId="9" borderId="6" xfId="1" applyFont="1" applyFill="1" applyBorder="1" applyAlignment="1">
      <alignment horizontal="center"/>
    </xf>
    <xf numFmtId="9" fontId="0" fillId="0" borderId="6" xfId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9" fontId="5" fillId="7" borderId="1" xfId="1" applyFont="1" applyFill="1" applyBorder="1" applyAlignment="1">
      <alignment horizontal="center"/>
    </xf>
    <xf numFmtId="9" fontId="8" fillId="8" borderId="1" xfId="1" applyFont="1" applyFill="1" applyBorder="1" applyAlignment="1">
      <alignment horizontal="center"/>
    </xf>
    <xf numFmtId="9" fontId="5" fillId="9" borderId="1" xfId="1" applyFont="1" applyFill="1" applyBorder="1" applyAlignment="1">
      <alignment horizontal="center"/>
    </xf>
    <xf numFmtId="9" fontId="8" fillId="8" borderId="5" xfId="1" applyFont="1" applyFill="1" applyBorder="1" applyAlignment="1">
      <alignment horizontal="center"/>
    </xf>
    <xf numFmtId="9" fontId="1" fillId="7" borderId="1" xfId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3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(Sheet1!$I$59,Sheet1!$K$59,Sheet1!$M$59,Sheet1!$O$59)</c:f>
              <c:strCache>
                <c:ptCount val="4"/>
                <c:pt idx="0">
                  <c:v>320</c:v>
                </c:pt>
                <c:pt idx="1">
                  <c:v>320 B64</c:v>
                </c:pt>
                <c:pt idx="2">
                  <c:v>448</c:v>
                </c:pt>
                <c:pt idx="3">
                  <c:v>640</c:v>
                </c:pt>
              </c:strCache>
            </c:strRef>
          </c:cat>
          <c:val>
            <c:numRef>
              <c:f>(Sheet1!$I$63,Sheet1!$K$63,Sheet1!$M$63,Sheet1!$O$63)</c:f>
              <c:numCache>
                <c:formatCode>0%</c:formatCode>
                <c:ptCount val="4"/>
                <c:pt idx="0">
                  <c:v>0.11328125</c:v>
                </c:pt>
                <c:pt idx="1">
                  <c:v>0.15625</c:v>
                </c:pt>
                <c:pt idx="2">
                  <c:v>0.1328125</c:v>
                </c:pt>
                <c:pt idx="3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4-4FC6-98D3-8C2447171DBA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(Sheet1!$I$59,Sheet1!$K$59,Sheet1!$M$59,Sheet1!$O$59)</c:f>
              <c:strCache>
                <c:ptCount val="4"/>
                <c:pt idx="0">
                  <c:v>320</c:v>
                </c:pt>
                <c:pt idx="1">
                  <c:v>320 B64</c:v>
                </c:pt>
                <c:pt idx="2">
                  <c:v>448</c:v>
                </c:pt>
                <c:pt idx="3">
                  <c:v>640</c:v>
                </c:pt>
              </c:strCache>
            </c:strRef>
          </c:cat>
          <c:val>
            <c:numRef>
              <c:f>(Sheet1!$I$65,Sheet1!$K$65,Sheet1!$M$65,Sheet1!$O$65)</c:f>
              <c:numCache>
                <c:formatCode>0%</c:formatCode>
                <c:ptCount val="4"/>
                <c:pt idx="0">
                  <c:v>0.125</c:v>
                </c:pt>
                <c:pt idx="1">
                  <c:v>5.859375E-2</c:v>
                </c:pt>
                <c:pt idx="2">
                  <c:v>8.59375E-2</c:v>
                </c:pt>
                <c:pt idx="3">
                  <c:v>0.109375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24-4FC6-98D3-8C244717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83104"/>
        <c:axId val="-145467872"/>
      </c:lineChart>
      <c:catAx>
        <c:axId val="-1454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67872"/>
        <c:crosses val="autoZero"/>
        <c:auto val="1"/>
        <c:lblAlgn val="ctr"/>
        <c:lblOffset val="100"/>
        <c:noMultiLvlLbl val="0"/>
      </c:catAx>
      <c:valAx>
        <c:axId val="-1454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83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(Sheet1!$G$87,Sheet1!$O$87)</c:f>
              <c:strCache>
                <c:ptCount val="2"/>
                <c:pt idx="0">
                  <c:v>ResNet 101</c:v>
                </c:pt>
                <c:pt idx="1">
                  <c:v>ResNet101+XGB</c:v>
                </c:pt>
              </c:strCache>
            </c:strRef>
          </c:cat>
          <c:val>
            <c:numRef>
              <c:f>(Sheet1!$G$91,Sheet1!$O$91)</c:f>
              <c:numCache>
                <c:formatCode>0%</c:formatCode>
                <c:ptCount val="2"/>
                <c:pt idx="0">
                  <c:v>8.203125E-2</c:v>
                </c:pt>
                <c:pt idx="1">
                  <c:v>8.203125E-2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A-4EA7-A756-49877174C319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(Sheet1!$G$87,Sheet1!$O$87)</c:f>
              <c:strCache>
                <c:ptCount val="2"/>
                <c:pt idx="0">
                  <c:v>ResNet 101</c:v>
                </c:pt>
                <c:pt idx="1">
                  <c:v>ResNet101+XGB</c:v>
                </c:pt>
              </c:strCache>
            </c:strRef>
          </c:cat>
          <c:val>
            <c:numRef>
              <c:f>(Sheet1!$G$93,Sheet1!$O$93)</c:f>
              <c:numCache>
                <c:formatCode>0%</c:formatCode>
                <c:ptCount val="2"/>
                <c:pt idx="0">
                  <c:v>0.11328125</c:v>
                </c:pt>
                <c:pt idx="1">
                  <c:v>0.13671875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A-4EA7-A756-49877174C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59712"/>
        <c:axId val="-145447200"/>
      </c:lineChart>
      <c:catAx>
        <c:axId val="-1454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47200"/>
        <c:crosses val="autoZero"/>
        <c:auto val="1"/>
        <c:lblAlgn val="ctr"/>
        <c:lblOffset val="100"/>
        <c:noMultiLvlLbl val="0"/>
      </c:catAx>
      <c:valAx>
        <c:axId val="-1454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59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(Sheet1!$U$33,Sheet1!$W$33,Sheet1!$Y$33)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(Sheet1!$U$37,Sheet1!$W$37,Sheet1!$Y$37)</c:f>
              <c:numCache>
                <c:formatCode>0%</c:formatCode>
                <c:ptCount val="3"/>
                <c:pt idx="0">
                  <c:v>8.203125E-2</c:v>
                </c:pt>
                <c:pt idx="1">
                  <c:v>8.203125E-2</c:v>
                </c:pt>
                <c:pt idx="2">
                  <c:v>7.8125E-2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D-4530-B28C-F0341454AC41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(Sheet1!$U$33,Sheet1!$W$33,Sheet1!$Y$33)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(Sheet1!$U$39,Sheet1!$W$39,Sheet1!$Y$39)</c:f>
              <c:numCache>
                <c:formatCode>0%</c:formatCode>
                <c:ptCount val="3"/>
                <c:pt idx="0">
                  <c:v>0.13671875</c:v>
                </c:pt>
                <c:pt idx="1">
                  <c:v>0.13671875</c:v>
                </c:pt>
                <c:pt idx="2">
                  <c:v>0.1328125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D-4530-B28C-F0341454A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52640"/>
        <c:axId val="-145445568"/>
      </c:lineChart>
      <c:catAx>
        <c:axId val="-1454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45568"/>
        <c:crosses val="autoZero"/>
        <c:auto val="1"/>
        <c:lblAlgn val="ctr"/>
        <c:lblOffset val="100"/>
        <c:noMultiLvlLbl val="0"/>
      </c:catAx>
      <c:valAx>
        <c:axId val="-1454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52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(Sheet1!$Q$87,Sheet1!$G$87,Sheet1!$K$87,Sheet1!$M$87)</c:f>
              <c:strCache>
                <c:ptCount val="4"/>
                <c:pt idx="0">
                  <c:v>ResNet 50</c:v>
                </c:pt>
                <c:pt idx="1">
                  <c:v>ResNet 101</c:v>
                </c:pt>
                <c:pt idx="2">
                  <c:v>ResNet 18</c:v>
                </c:pt>
                <c:pt idx="3">
                  <c:v>VGG16</c:v>
                </c:pt>
              </c:strCache>
            </c:strRef>
          </c:cat>
          <c:val>
            <c:numRef>
              <c:f>(Sheet1!$Q$91,Sheet1!$G$91,Sheet1!$K$91,Sheet1!$M$91)</c:f>
              <c:numCache>
                <c:formatCode>0%</c:formatCode>
                <c:ptCount val="4"/>
                <c:pt idx="0">
                  <c:v>8.203125E-2</c:v>
                </c:pt>
                <c:pt idx="1">
                  <c:v>8.203125E-2</c:v>
                </c:pt>
                <c:pt idx="2">
                  <c:v>8.59375E-2</c:v>
                </c:pt>
                <c:pt idx="3">
                  <c:v>8.59375E-2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E-4850-9FD9-335D18202B7F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(Sheet1!$Q$87,Sheet1!$G$87,Sheet1!$K$87,Sheet1!$M$87)</c:f>
              <c:strCache>
                <c:ptCount val="4"/>
                <c:pt idx="0">
                  <c:v>ResNet 50</c:v>
                </c:pt>
                <c:pt idx="1">
                  <c:v>ResNet 101</c:v>
                </c:pt>
                <c:pt idx="2">
                  <c:v>ResNet 18</c:v>
                </c:pt>
                <c:pt idx="3">
                  <c:v>VGG16</c:v>
                </c:pt>
              </c:strCache>
            </c:strRef>
          </c:cat>
          <c:val>
            <c:numRef>
              <c:f>(Sheet1!$O$93,Sheet1!$G$93,Sheet1!$K$93,Sheet1!$M$93)</c:f>
              <c:numCache>
                <c:formatCode>0%</c:formatCode>
                <c:ptCount val="4"/>
                <c:pt idx="0">
                  <c:v>0.13671875</c:v>
                </c:pt>
                <c:pt idx="1">
                  <c:v>0.11328125</c:v>
                </c:pt>
                <c:pt idx="2">
                  <c:v>0.140625</c:v>
                </c:pt>
                <c:pt idx="3">
                  <c:v>0.140625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E-4850-9FD9-335D18202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36864"/>
        <c:axId val="-145436320"/>
      </c:lineChart>
      <c:catAx>
        <c:axId val="-14543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36320"/>
        <c:crosses val="autoZero"/>
        <c:auto val="1"/>
        <c:lblAlgn val="ctr"/>
        <c:lblOffset val="100"/>
        <c:noMultiLvlLbl val="0"/>
      </c:catAx>
      <c:valAx>
        <c:axId val="-1454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36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(Sheet1!$U$33,Sheet1!$W$33,Sheet1!$Y$33)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(Sheet1!$V$37,Sheet1!$X$37,Sheet1!$Z$37)</c:f>
              <c:numCache>
                <c:formatCode>0%</c:formatCode>
                <c:ptCount val="3"/>
                <c:pt idx="0">
                  <c:v>9.375E-2</c:v>
                </c:pt>
                <c:pt idx="1">
                  <c:v>0.125</c:v>
                </c:pt>
                <c:pt idx="2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9-4B55-A5DE-CFF4E768D563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(Sheet1!$U$33,Sheet1!$W$33,Sheet1!$Y$33)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(Sheet1!$V$39,Sheet1!$X$39,Sheet1!$Z$39)</c:f>
              <c:numCache>
                <c:formatCode>0%</c:formatCode>
                <c:ptCount val="3"/>
                <c:pt idx="0">
                  <c:v>0.11328125</c:v>
                </c:pt>
                <c:pt idx="1">
                  <c:v>0.1171875</c:v>
                </c:pt>
                <c:pt idx="2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9-4B55-A5DE-CFF4E768D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44480"/>
        <c:axId val="-145434688"/>
      </c:lineChart>
      <c:catAx>
        <c:axId val="-14544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34688"/>
        <c:crosses val="autoZero"/>
        <c:auto val="1"/>
        <c:lblAlgn val="ctr"/>
        <c:lblOffset val="100"/>
        <c:noMultiLvlLbl val="0"/>
      </c:catAx>
      <c:valAx>
        <c:axId val="-14543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44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(Sheet1!$G$6,Sheet1!$I$6,Sheet1!$K$6,Sheet1!$M$6,Sheet1!$O$6,Sheet1!$Q$6,Sheet1!$S$6,Sheet1!$U$6,Sheet1!$W$6)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30</c:v>
                </c:pt>
              </c:numCache>
            </c:numRef>
          </c:cat>
          <c:val>
            <c:numRef>
              <c:f>(Sheet1!$G$10,Sheet1!$I$10,Sheet1!$K$10,Sheet1!$M$10,Sheet1!$O$10,Sheet1!$Q$10,Sheet1!$S$10,Sheet1!$U$10,Sheet1!$W$10)</c:f>
              <c:numCache>
                <c:formatCode>0%</c:formatCode>
                <c:ptCount val="9"/>
                <c:pt idx="0">
                  <c:v>0.203125</c:v>
                </c:pt>
                <c:pt idx="1">
                  <c:v>9.375E-2</c:v>
                </c:pt>
                <c:pt idx="2">
                  <c:v>0.1484375</c:v>
                </c:pt>
                <c:pt idx="3">
                  <c:v>8.203125E-2</c:v>
                </c:pt>
                <c:pt idx="4">
                  <c:v>8.203125E-2</c:v>
                </c:pt>
                <c:pt idx="5">
                  <c:v>7.8125E-2</c:v>
                </c:pt>
                <c:pt idx="6">
                  <c:v>0.109375</c:v>
                </c:pt>
                <c:pt idx="7">
                  <c:v>0.1015625</c:v>
                </c:pt>
                <c:pt idx="8">
                  <c:v>8.984375E-2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9-4E76-8185-6EA337D949F6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(Sheet1!$G$6,Sheet1!$I$6,Sheet1!$K$6,Sheet1!$M$6,Sheet1!$O$6,Sheet1!$Q$6,Sheet1!$S$6,Sheet1!$U$6,Sheet1!$W$6)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30</c:v>
                </c:pt>
              </c:numCache>
            </c:numRef>
          </c:cat>
          <c:val>
            <c:numRef>
              <c:f>(Sheet1!$G$12,Sheet1!$I$12,Sheet1!$K$12,Sheet1!$M$12,Sheet1!$O$12,Sheet1!$Q$12,Sheet1!$S$12,Sheet1!$U$12,Sheet1!$W$12)</c:f>
              <c:numCache>
                <c:formatCode>0%</c:formatCode>
                <c:ptCount val="9"/>
                <c:pt idx="0">
                  <c:v>0.11328125</c:v>
                </c:pt>
                <c:pt idx="1">
                  <c:v>0.125</c:v>
                </c:pt>
                <c:pt idx="2">
                  <c:v>0.12109375</c:v>
                </c:pt>
                <c:pt idx="3">
                  <c:v>0.12890625</c:v>
                </c:pt>
                <c:pt idx="4">
                  <c:v>0.11328125</c:v>
                </c:pt>
                <c:pt idx="5">
                  <c:v>0.1328125</c:v>
                </c:pt>
                <c:pt idx="6">
                  <c:v>0.1171875</c:v>
                </c:pt>
                <c:pt idx="7">
                  <c:v>0.1328125</c:v>
                </c:pt>
                <c:pt idx="8">
                  <c:v>0.12890625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9-4E76-8185-6EA337D94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33600"/>
        <c:axId val="-145437408"/>
      </c:lineChart>
      <c:catAx>
        <c:axId val="-1454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37408"/>
        <c:crosses val="autoZero"/>
        <c:auto val="1"/>
        <c:lblAlgn val="ctr"/>
        <c:lblOffset val="100"/>
        <c:noMultiLvlLbl val="0"/>
      </c:catAx>
      <c:valAx>
        <c:axId val="-1454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33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(Sheet1!$G$6,Sheet1!$I$6,Sheet1!$K$6,Sheet1!$M$6,Sheet1!$O$6,Sheet1!$Q$6,Sheet1!$S$6,Sheet1!$U$6,Sheet1!$W$6)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30</c:v>
                </c:pt>
              </c:numCache>
            </c:numRef>
          </c:cat>
          <c:val>
            <c:numRef>
              <c:f>(Sheet1!$H$10,Sheet1!$J$10,Sheet1!$L$10,Sheet1!$N$10,Sheet1!$P$10,Sheet1!$R$10,Sheet1!$T$10,Sheet1!$V$10,Sheet1!$X$10)</c:f>
              <c:numCache>
                <c:formatCode>0%</c:formatCode>
                <c:ptCount val="9"/>
                <c:pt idx="0">
                  <c:v>0.453125</c:v>
                </c:pt>
                <c:pt idx="1">
                  <c:v>0.390625</c:v>
                </c:pt>
                <c:pt idx="2">
                  <c:v>0.29296875</c:v>
                </c:pt>
                <c:pt idx="3">
                  <c:v>0.23828125</c:v>
                </c:pt>
                <c:pt idx="4">
                  <c:v>0.13671875</c:v>
                </c:pt>
                <c:pt idx="5">
                  <c:v>0.234375</c:v>
                </c:pt>
                <c:pt idx="6">
                  <c:v>0.1015625</c:v>
                </c:pt>
                <c:pt idx="7">
                  <c:v>0.13671875</c:v>
                </c:pt>
                <c:pt idx="8">
                  <c:v>0.13671875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C-48A6-B7F3-DEE463509999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(Sheet1!$G$6,Sheet1!$I$6,Sheet1!$K$6,Sheet1!$M$6,Sheet1!$O$6,Sheet1!$Q$6,Sheet1!$S$6,Sheet1!$U$6,Sheet1!$W$6)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30</c:v>
                </c:pt>
              </c:numCache>
            </c:numRef>
          </c:cat>
          <c:val>
            <c:numRef>
              <c:f>(Sheet1!$H$12,Sheet1!$J$12,Sheet1!$L$12,Sheet1!$N$12,Sheet1!$P$12,Sheet1!$R$12,Sheet1!$T$12,Sheet1!$V$12,Sheet1!$X$12)</c:f>
              <c:numCache>
                <c:formatCode>0%</c:formatCode>
                <c:ptCount val="9"/>
                <c:pt idx="0">
                  <c:v>4.6875E-2</c:v>
                </c:pt>
                <c:pt idx="1">
                  <c:v>6.640625E-2</c:v>
                </c:pt>
                <c:pt idx="2">
                  <c:v>7.421875E-2</c:v>
                </c:pt>
                <c:pt idx="3">
                  <c:v>9.375E-2</c:v>
                </c:pt>
                <c:pt idx="4">
                  <c:v>0.109375</c:v>
                </c:pt>
                <c:pt idx="5">
                  <c:v>6.25E-2</c:v>
                </c:pt>
                <c:pt idx="6">
                  <c:v>0.1328125</c:v>
                </c:pt>
                <c:pt idx="7">
                  <c:v>8.203125E-2</c:v>
                </c:pt>
                <c:pt idx="8">
                  <c:v>0.10546875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C-48A6-B7F3-DEE463509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5429792"/>
        <c:axId val="-145429248"/>
      </c:lineChart>
      <c:catAx>
        <c:axId val="-14542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29248"/>
        <c:crosses val="autoZero"/>
        <c:auto val="1"/>
        <c:lblAlgn val="ctr"/>
        <c:lblOffset val="100"/>
        <c:noMultiLvlLbl val="0"/>
      </c:catAx>
      <c:valAx>
        <c:axId val="-14542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429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 - 3C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(Sheet1!$O$33,Sheet1!$Q$33,Sheet1!$S$33)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(Sheet1!$V$37,Sheet1!$X$37,Sheet1!$Z$37)</c:f>
              <c:numCache>
                <c:formatCode>0%</c:formatCode>
                <c:ptCount val="3"/>
                <c:pt idx="0">
                  <c:v>9.375E-2</c:v>
                </c:pt>
                <c:pt idx="1">
                  <c:v>0.125</c:v>
                </c:pt>
                <c:pt idx="2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6-40A0-A91E-3E9022ECAB05}"/>
            </c:ext>
          </c:extLst>
        </c:ser>
        <c:ser>
          <c:idx val="1"/>
          <c:order val="1"/>
          <c:tx>
            <c:v>FP - 3C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(Sheet1!$O$33,Sheet1!$Q$33,Sheet1!$S$33)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(Sheet1!$V$39,Sheet1!$X$39,Sheet1!$Z$39)</c:f>
              <c:numCache>
                <c:formatCode>0%</c:formatCode>
                <c:ptCount val="3"/>
                <c:pt idx="0">
                  <c:v>0.11328125</c:v>
                </c:pt>
                <c:pt idx="1">
                  <c:v>0.1171875</c:v>
                </c:pt>
                <c:pt idx="2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6-40A0-A91E-3E9022ECAB05}"/>
            </c:ext>
          </c:extLst>
        </c:ser>
        <c:ser>
          <c:idx val="2"/>
          <c:order val="2"/>
          <c:tx>
            <c:v>FN - 2C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(Sheet1!$O$33,Sheet1!$Q$33,Sheet1!$S$33)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(Sheet1!$U$37,Sheet1!$W$37,Sheet1!$Y$37)</c:f>
              <c:numCache>
                <c:formatCode>0%</c:formatCode>
                <c:ptCount val="3"/>
                <c:pt idx="0">
                  <c:v>8.203125E-2</c:v>
                </c:pt>
                <c:pt idx="1">
                  <c:v>8.203125E-2</c:v>
                </c:pt>
                <c:pt idx="2">
                  <c:v>7.8125E-2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6-40A0-A91E-3E9022ECAB05}"/>
            </c:ext>
          </c:extLst>
        </c:ser>
        <c:ser>
          <c:idx val="3"/>
          <c:order val="3"/>
          <c:tx>
            <c:v>FP - 2C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(Sheet1!$O$33,Sheet1!$Q$33,Sheet1!$S$33)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cat>
          <c:val>
            <c:numRef>
              <c:f>(Sheet1!$U$39,Sheet1!$W$39,Sheet1!$Y$39)</c:f>
              <c:numCache>
                <c:formatCode>0%</c:formatCode>
                <c:ptCount val="3"/>
                <c:pt idx="0">
                  <c:v>0.13671875</c:v>
                </c:pt>
                <c:pt idx="1">
                  <c:v>0.13671875</c:v>
                </c:pt>
                <c:pt idx="2">
                  <c:v>0.1328125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86-40A0-A91E-3E9022EC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57533808"/>
        <c:axId val="-657542512"/>
      </c:lineChart>
      <c:catAx>
        <c:axId val="-6575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42512"/>
        <c:crosses val="autoZero"/>
        <c:auto val="1"/>
        <c:lblAlgn val="ctr"/>
        <c:lblOffset val="100"/>
        <c:noMultiLvlLbl val="0"/>
      </c:catAx>
      <c:valAx>
        <c:axId val="-6575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338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(Sheet1!$M$114,Sheet1!$I$114)</c:f>
              <c:strCache>
                <c:ptCount val="2"/>
                <c:pt idx="0">
                  <c:v>Calibration</c:v>
                </c:pt>
                <c:pt idx="1">
                  <c:v>Softmax Fn.</c:v>
                </c:pt>
              </c:strCache>
            </c:strRef>
          </c:cat>
          <c:val>
            <c:numRef>
              <c:f>(Sheet1!$M$118,Sheet1!$I$118)</c:f>
              <c:numCache>
                <c:formatCode>0%</c:formatCode>
                <c:ptCount val="2"/>
                <c:pt idx="0">
                  <c:v>8.203125E-2</c:v>
                </c:pt>
                <c:pt idx="1">
                  <c:v>8.984375E-2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5-4E0D-82AC-FF64219C7BF6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(Sheet1!$M$114,Sheet1!$I$114)</c:f>
              <c:strCache>
                <c:ptCount val="2"/>
                <c:pt idx="0">
                  <c:v>Calibration</c:v>
                </c:pt>
                <c:pt idx="1">
                  <c:v>Softmax Fn.</c:v>
                </c:pt>
              </c:strCache>
            </c:strRef>
          </c:cat>
          <c:val>
            <c:numRef>
              <c:f>(Sheet1!$M$120,Sheet1!$I$120)</c:f>
              <c:numCache>
                <c:formatCode>0%</c:formatCode>
                <c:ptCount val="2"/>
                <c:pt idx="0">
                  <c:v>0.11328125</c:v>
                </c:pt>
                <c:pt idx="1">
                  <c:v>0.12890625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5-4E0D-82AC-FF64219C7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57531632"/>
        <c:axId val="-657531088"/>
      </c:lineChart>
      <c:catAx>
        <c:axId val="-6575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31088"/>
        <c:crosses val="autoZero"/>
        <c:auto val="1"/>
        <c:lblAlgn val="ctr"/>
        <c:lblOffset val="100"/>
        <c:noMultiLvlLbl val="0"/>
      </c:catAx>
      <c:valAx>
        <c:axId val="-65753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31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(Sheet1!$I$142,Sheet1!$K$142,Sheet1!$M$142)</c:f>
              <c:strCache>
                <c:ptCount val="3"/>
                <c:pt idx="0">
                  <c:v>sgd</c:v>
                </c:pt>
                <c:pt idx="1">
                  <c:v>adam</c:v>
                </c:pt>
                <c:pt idx="2">
                  <c:v>nadam</c:v>
                </c:pt>
              </c:strCache>
            </c:strRef>
          </c:cat>
          <c:val>
            <c:numRef>
              <c:f>(Sheet1!$I$146,Sheet1!$K$146,Sheet1!$M$146)</c:f>
              <c:numCache>
                <c:formatCode>0%</c:formatCode>
                <c:ptCount val="3"/>
                <c:pt idx="0">
                  <c:v>8.203125E-2</c:v>
                </c:pt>
                <c:pt idx="1">
                  <c:v>7.8125E-2</c:v>
                </c:pt>
                <c:pt idx="2">
                  <c:v>8.203125E-2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2-4968-9983-090D0F765462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(Sheet1!$I$142,Sheet1!$K$142,Sheet1!$M$142)</c:f>
              <c:strCache>
                <c:ptCount val="3"/>
                <c:pt idx="0">
                  <c:v>sgd</c:v>
                </c:pt>
                <c:pt idx="1">
                  <c:v>adam</c:v>
                </c:pt>
                <c:pt idx="2">
                  <c:v>nadam</c:v>
                </c:pt>
              </c:strCache>
            </c:strRef>
          </c:cat>
          <c:val>
            <c:numRef>
              <c:f>(Sheet1!$I$148,Sheet1!$K$148,Sheet1!$M$148)</c:f>
              <c:numCache>
                <c:formatCode>0%</c:formatCode>
                <c:ptCount val="3"/>
                <c:pt idx="0">
                  <c:v>0.13671875</c:v>
                </c:pt>
                <c:pt idx="1">
                  <c:v>0.1328125</c:v>
                </c:pt>
                <c:pt idx="2">
                  <c:v>0.13671875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2-4968-9983-090D0F76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57534352"/>
        <c:axId val="-657540336"/>
      </c:lineChart>
      <c:catAx>
        <c:axId val="-65753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40336"/>
        <c:crosses val="autoZero"/>
        <c:auto val="1"/>
        <c:lblAlgn val="ctr"/>
        <c:lblOffset val="100"/>
        <c:noMultiLvlLbl val="0"/>
      </c:catAx>
      <c:valAx>
        <c:axId val="-6575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34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(Sheet1!$G$169,Sheet1!$I$169,Sheet1!$K$169,Sheet1!$M$169)</c:f>
              <c:numCache>
                <c:formatCode>General</c:formatCode>
                <c:ptCount val="4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</c:numCache>
            </c:numRef>
          </c:cat>
          <c:val>
            <c:numRef>
              <c:f>(Sheet1!$G$173,Sheet1!$I$173,Sheet1!$K$173,Sheet1!$M$173)</c:f>
              <c:numCache>
                <c:formatCode>0%</c:formatCode>
                <c:ptCount val="4"/>
                <c:pt idx="0">
                  <c:v>7.8125E-2</c:v>
                </c:pt>
                <c:pt idx="1">
                  <c:v>7.8125E-2</c:v>
                </c:pt>
                <c:pt idx="2">
                  <c:v>0.12109375</c:v>
                </c:pt>
                <c:pt idx="3">
                  <c:v>0.16796875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2-4968-9983-090D0F765462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(Sheet1!$G$169,Sheet1!$I$169,Sheet1!$K$169,Sheet1!$M$169)</c:f>
              <c:numCache>
                <c:formatCode>General</c:formatCode>
                <c:ptCount val="4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</c:numCache>
            </c:numRef>
          </c:cat>
          <c:val>
            <c:numRef>
              <c:f>(Sheet1!$G$175,Sheet1!$I$175,Sheet1!$K$175,Sheet1!$M$175)</c:f>
              <c:numCache>
                <c:formatCode>0%</c:formatCode>
                <c:ptCount val="4"/>
                <c:pt idx="0">
                  <c:v>0.1328125</c:v>
                </c:pt>
                <c:pt idx="1">
                  <c:v>0.1328125</c:v>
                </c:pt>
                <c:pt idx="2">
                  <c:v>0.12890625</c:v>
                </c:pt>
                <c:pt idx="3">
                  <c:v>0.10546875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2-4968-9983-090D0F76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57535984"/>
        <c:axId val="-657528368"/>
      </c:lineChart>
      <c:catAx>
        <c:axId val="-65753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28368"/>
        <c:crosses val="autoZero"/>
        <c:auto val="1"/>
        <c:lblAlgn val="ctr"/>
        <c:lblOffset val="100"/>
        <c:noMultiLvlLbl val="0"/>
      </c:catAx>
      <c:valAx>
        <c:axId val="-65752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57535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Acc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9"/>
              <c:pt idx="0">
                <c:v>3</c:v>
              </c:pt>
              <c:pt idx="1">
                <c:v>6</c:v>
              </c:pt>
              <c:pt idx="2">
                <c:v>10</c:v>
              </c:pt>
              <c:pt idx="3">
                <c:v>13</c:v>
              </c:pt>
              <c:pt idx="4">
                <c:v>16</c:v>
              </c:pt>
              <c:pt idx="5">
                <c:v>20</c:v>
              </c:pt>
              <c:pt idx="6">
                <c:v>23</c:v>
              </c:pt>
              <c:pt idx="7">
                <c:v>26</c:v>
              </c:pt>
              <c:pt idx="8">
                <c:v>30</c:v>
              </c:pt>
            </c:numLit>
          </c:cat>
          <c:val>
            <c:numLit>
              <c:formatCode>General</c:formatCode>
              <c:ptCount val="9"/>
              <c:pt idx="0">
                <c:v>0.64</c:v>
              </c:pt>
              <c:pt idx="1">
                <c:v>0.73</c:v>
              </c:pt>
              <c:pt idx="2">
                <c:v>0.67</c:v>
              </c:pt>
              <c:pt idx="3">
                <c:v>0.76</c:v>
              </c:pt>
              <c:pt idx="4">
                <c:v>0.78</c:v>
              </c:pt>
              <c:pt idx="5">
                <c:v>0.74</c:v>
              </c:pt>
              <c:pt idx="6">
                <c:v>0.75</c:v>
              </c:pt>
              <c:pt idx="7">
                <c:v>0.73</c:v>
              </c:pt>
              <c:pt idx="8">
                <c:v>0.76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BA3-44F4-BBAA-D3241BE7666F}"/>
            </c:ext>
          </c:extLst>
        </c:ser>
        <c:ser>
          <c:idx val="1"/>
          <c:order val="1"/>
          <c:tx>
            <c:v>Prec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9"/>
              <c:pt idx="0">
                <c:v>3</c:v>
              </c:pt>
              <c:pt idx="1">
                <c:v>6</c:v>
              </c:pt>
              <c:pt idx="2">
                <c:v>10</c:v>
              </c:pt>
              <c:pt idx="3">
                <c:v>13</c:v>
              </c:pt>
              <c:pt idx="4">
                <c:v>16</c:v>
              </c:pt>
              <c:pt idx="5">
                <c:v>20</c:v>
              </c:pt>
              <c:pt idx="6">
                <c:v>23</c:v>
              </c:pt>
              <c:pt idx="7">
                <c:v>26</c:v>
              </c:pt>
              <c:pt idx="8">
                <c:v>30</c:v>
              </c:pt>
            </c:numLit>
          </c:cat>
          <c:val>
            <c:numLit>
              <c:formatCode>General</c:formatCode>
              <c:ptCount val="9"/>
              <c:pt idx="0">
                <c:v>0.76</c:v>
              </c:pt>
              <c:pt idx="1">
                <c:v>0.8</c:v>
              </c:pt>
              <c:pt idx="2">
                <c:v>0.76</c:v>
              </c:pt>
              <c:pt idx="3">
                <c:v>0.81</c:v>
              </c:pt>
              <c:pt idx="4">
                <c:v>0.83</c:v>
              </c:pt>
              <c:pt idx="5">
                <c:v>0.8</c:v>
              </c:pt>
              <c:pt idx="6">
                <c:v>0.83</c:v>
              </c:pt>
              <c:pt idx="7">
                <c:v>0.8</c:v>
              </c:pt>
              <c:pt idx="8">
                <c:v>0.83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BA3-44F4-BBAA-D3241BE7666F}"/>
            </c:ext>
          </c:extLst>
        </c:ser>
        <c:ser>
          <c:idx val="2"/>
          <c:order val="2"/>
          <c:tx>
            <c:v>Recall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9"/>
              <c:pt idx="0">
                <c:v>3</c:v>
              </c:pt>
              <c:pt idx="1">
                <c:v>6</c:v>
              </c:pt>
              <c:pt idx="2">
                <c:v>10</c:v>
              </c:pt>
              <c:pt idx="3">
                <c:v>13</c:v>
              </c:pt>
              <c:pt idx="4">
                <c:v>16</c:v>
              </c:pt>
              <c:pt idx="5">
                <c:v>20</c:v>
              </c:pt>
              <c:pt idx="6">
                <c:v>23</c:v>
              </c:pt>
              <c:pt idx="7">
                <c:v>26</c:v>
              </c:pt>
              <c:pt idx="8">
                <c:v>30</c:v>
              </c:pt>
            </c:numLit>
          </c:cat>
          <c:val>
            <c:numLit>
              <c:formatCode>General</c:formatCode>
              <c:ptCount val="9"/>
              <c:pt idx="0">
                <c:v>0.69</c:v>
              </c:pt>
              <c:pt idx="1">
                <c:v>0.82</c:v>
              </c:pt>
              <c:pt idx="2">
                <c:v>0.74</c:v>
              </c:pt>
              <c:pt idx="3">
                <c:v>0.85</c:v>
              </c:pt>
              <c:pt idx="4">
                <c:v>0.86</c:v>
              </c:pt>
              <c:pt idx="5">
                <c:v>0.84</c:v>
              </c:pt>
              <c:pt idx="6">
                <c:v>0.83</c:v>
              </c:pt>
              <c:pt idx="7">
                <c:v>0.83</c:v>
              </c:pt>
              <c:pt idx="8">
                <c:v>0.86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BA3-44F4-BBAA-D3241BE7666F}"/>
            </c:ext>
          </c:extLst>
        </c:ser>
        <c:ser>
          <c:idx val="3"/>
          <c:order val="3"/>
          <c:tx>
            <c:v>F1-Score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9"/>
              <c:pt idx="0">
                <c:v>3</c:v>
              </c:pt>
              <c:pt idx="1">
                <c:v>6</c:v>
              </c:pt>
              <c:pt idx="2">
                <c:v>10</c:v>
              </c:pt>
              <c:pt idx="3">
                <c:v>13</c:v>
              </c:pt>
              <c:pt idx="4">
                <c:v>16</c:v>
              </c:pt>
              <c:pt idx="5">
                <c:v>20</c:v>
              </c:pt>
              <c:pt idx="6">
                <c:v>23</c:v>
              </c:pt>
              <c:pt idx="7">
                <c:v>26</c:v>
              </c:pt>
              <c:pt idx="8">
                <c:v>30</c:v>
              </c:pt>
            </c:numLit>
          </c:cat>
          <c:val>
            <c:numLit>
              <c:formatCode>General</c:formatCode>
              <c:ptCount val="9"/>
              <c:pt idx="0">
                <c:v>0.73</c:v>
              </c:pt>
              <c:pt idx="1">
                <c:v>0.81</c:v>
              </c:pt>
              <c:pt idx="2">
                <c:v>0.75</c:v>
              </c:pt>
              <c:pt idx="3">
                <c:v>0.83</c:v>
              </c:pt>
              <c:pt idx="4">
                <c:v>0.84</c:v>
              </c:pt>
              <c:pt idx="5">
                <c:v>0.82</c:v>
              </c:pt>
              <c:pt idx="6">
                <c:v>0.83</c:v>
              </c:pt>
              <c:pt idx="7">
                <c:v>0.81</c:v>
              </c:pt>
              <c:pt idx="8">
                <c:v>0.84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BA3-44F4-BBAA-D3241BE7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43767872"/>
        <c:axId val="-342070240"/>
      </c:lineChart>
      <c:catAx>
        <c:axId val="-34376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42070240"/>
        <c:crosses val="autoZero"/>
        <c:auto val="1"/>
        <c:lblAlgn val="ctr"/>
        <c:lblOffset val="100"/>
        <c:noMultiLvlLbl val="0"/>
      </c:catAx>
      <c:valAx>
        <c:axId val="-3420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43767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58</xdr:row>
      <xdr:rowOff>4762</xdr:rowOff>
    </xdr:from>
    <xdr:to>
      <xdr:col>34</xdr:col>
      <xdr:colOff>304800</xdr:colOff>
      <xdr:row>80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6EFD1-1CB8-BB15-8149-9D2D69F9B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0</xdr:colOff>
      <xdr:row>86</xdr:row>
      <xdr:rowOff>0</xdr:rowOff>
    </xdr:from>
    <xdr:to>
      <xdr:col>42</xdr:col>
      <xdr:colOff>304800</xdr:colOff>
      <xdr:row>108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9DDCD-A037-4ED8-A405-3A81458F8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32</xdr:row>
      <xdr:rowOff>0</xdr:rowOff>
    </xdr:from>
    <xdr:to>
      <xdr:col>34</xdr:col>
      <xdr:colOff>304800</xdr:colOff>
      <xdr:row>53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04803-6AC4-4969-8405-76A8D8556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86</xdr:row>
      <xdr:rowOff>4762</xdr:rowOff>
    </xdr:from>
    <xdr:to>
      <xdr:col>34</xdr:col>
      <xdr:colOff>304800</xdr:colOff>
      <xdr:row>108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36486B-5051-45BD-8BFC-044F3CF7A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32</xdr:row>
      <xdr:rowOff>0</xdr:rowOff>
    </xdr:from>
    <xdr:to>
      <xdr:col>42</xdr:col>
      <xdr:colOff>304800</xdr:colOff>
      <xdr:row>53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30A058E-D3B1-40A0-8587-747011DBA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5</xdr:row>
      <xdr:rowOff>0</xdr:rowOff>
    </xdr:from>
    <xdr:to>
      <xdr:col>34</xdr:col>
      <xdr:colOff>304800</xdr:colOff>
      <xdr:row>26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009B61-0613-4AF6-9310-D82103945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0</xdr:colOff>
      <xdr:row>5</xdr:row>
      <xdr:rowOff>0</xdr:rowOff>
    </xdr:from>
    <xdr:to>
      <xdr:col>42</xdr:col>
      <xdr:colOff>304800</xdr:colOff>
      <xdr:row>26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8C93F2-586C-4072-8BCF-D2345A5F4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0</xdr:colOff>
      <xdr:row>32</xdr:row>
      <xdr:rowOff>0</xdr:rowOff>
    </xdr:from>
    <xdr:to>
      <xdr:col>50</xdr:col>
      <xdr:colOff>304800</xdr:colOff>
      <xdr:row>53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E72C67-BD7C-4D44-AC36-138768990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113</xdr:row>
      <xdr:rowOff>0</xdr:rowOff>
    </xdr:from>
    <xdr:to>
      <xdr:col>34</xdr:col>
      <xdr:colOff>304800</xdr:colOff>
      <xdr:row>136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DF79531-483B-426F-9A05-6039AC15E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340179</xdr:colOff>
      <xdr:row>140</xdr:row>
      <xdr:rowOff>149678</xdr:rowOff>
    </xdr:from>
    <xdr:to>
      <xdr:col>45</xdr:col>
      <xdr:colOff>32658</xdr:colOff>
      <xdr:row>162</xdr:row>
      <xdr:rowOff>162902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4C3B57B-9ED9-4471-B2F6-C35E1CDE3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168</xdr:row>
      <xdr:rowOff>0</xdr:rowOff>
    </xdr:from>
    <xdr:to>
      <xdr:col>34</xdr:col>
      <xdr:colOff>304800</xdr:colOff>
      <xdr:row>190</xdr:row>
      <xdr:rowOff>68036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4C3B57B-9ED9-4471-B2F6-C35E1CDE3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43</xdr:col>
      <xdr:colOff>95250</xdr:colOff>
      <xdr:row>5</xdr:row>
      <xdr:rowOff>54429</xdr:rowOff>
    </xdr:from>
    <xdr:to>
      <xdr:col>50</xdr:col>
      <xdr:colOff>400050</xdr:colOff>
      <xdr:row>26</xdr:row>
      <xdr:rowOff>144236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18DADA-3420-41C3-A3A1-0188B22DA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191"/>
  <sheetViews>
    <sheetView tabSelected="1" zoomScale="70" zoomScaleNormal="70"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J3" sqref="J3"/>
    </sheetView>
  </sheetViews>
  <sheetFormatPr defaultRowHeight="15" x14ac:dyDescent="0.25"/>
  <cols>
    <col min="1" max="1" width="9.140625" style="56"/>
    <col min="2" max="2" width="14.7109375" customWidth="1"/>
    <col min="4" max="4" width="11.85546875" bestFit="1" customWidth="1"/>
    <col min="5" max="5" width="8.140625" bestFit="1" customWidth="1"/>
  </cols>
  <sheetData>
    <row r="2" spans="2:28" x14ac:dyDescent="0.25">
      <c r="B2" s="17" t="s">
        <v>12</v>
      </c>
      <c r="C2" s="17"/>
      <c r="D2" s="17"/>
    </row>
    <row r="3" spans="2:28" x14ac:dyDescent="0.25">
      <c r="B3" s="140" t="s">
        <v>16</v>
      </c>
      <c r="C3" s="140"/>
      <c r="D3" s="23" t="s">
        <v>25</v>
      </c>
    </row>
    <row r="4" spans="2:28" x14ac:dyDescent="0.25">
      <c r="B4" s="140" t="s">
        <v>20</v>
      </c>
      <c r="C4" s="140"/>
      <c r="D4" s="24" t="s">
        <v>49</v>
      </c>
    </row>
    <row r="5" spans="2:28" ht="15.75" thickBot="1" x14ac:dyDescent="0.3">
      <c r="B5" t="s">
        <v>17</v>
      </c>
      <c r="AB5" t="s">
        <v>50</v>
      </c>
    </row>
    <row r="6" spans="2:28" x14ac:dyDescent="0.25">
      <c r="C6" s="137" t="s">
        <v>42</v>
      </c>
      <c r="D6" s="138"/>
      <c r="E6" s="119" t="s">
        <v>14</v>
      </c>
      <c r="F6" s="120"/>
      <c r="G6" s="123">
        <v>3</v>
      </c>
      <c r="H6" s="124"/>
      <c r="I6" s="123">
        <v>6</v>
      </c>
      <c r="J6" s="124"/>
      <c r="K6" s="123">
        <v>10</v>
      </c>
      <c r="L6" s="124"/>
      <c r="M6" s="123">
        <v>13</v>
      </c>
      <c r="N6" s="124"/>
      <c r="O6" s="142">
        <v>16</v>
      </c>
      <c r="P6" s="143"/>
      <c r="Q6" s="123">
        <v>20</v>
      </c>
      <c r="R6" s="124"/>
      <c r="S6" s="123">
        <v>23</v>
      </c>
      <c r="T6" s="124"/>
      <c r="U6" s="123">
        <v>26</v>
      </c>
      <c r="V6" s="124"/>
      <c r="W6" s="123">
        <v>30</v>
      </c>
      <c r="X6" s="124"/>
      <c r="Y6" s="123"/>
      <c r="Z6" s="126"/>
    </row>
    <row r="7" spans="2:28" ht="15.75" thickBot="1" x14ac:dyDescent="0.3">
      <c r="C7" s="137" t="s">
        <v>8</v>
      </c>
      <c r="D7" s="138"/>
      <c r="E7" s="121"/>
      <c r="F7" s="122"/>
      <c r="G7" s="16" t="s">
        <v>0</v>
      </c>
      <c r="H7" s="10" t="s">
        <v>1</v>
      </c>
      <c r="I7" s="4" t="s">
        <v>0</v>
      </c>
      <c r="J7" s="10" t="s">
        <v>1</v>
      </c>
      <c r="K7" s="4" t="s">
        <v>0</v>
      </c>
      <c r="L7" s="10" t="s">
        <v>1</v>
      </c>
      <c r="M7" s="4" t="s">
        <v>0</v>
      </c>
      <c r="N7" s="10" t="s">
        <v>1</v>
      </c>
      <c r="O7" s="4" t="s">
        <v>0</v>
      </c>
      <c r="P7" s="10" t="s">
        <v>1</v>
      </c>
      <c r="Q7" s="4" t="s">
        <v>0</v>
      </c>
      <c r="R7" s="10" t="s">
        <v>1</v>
      </c>
      <c r="S7" s="4" t="s">
        <v>0</v>
      </c>
      <c r="T7" s="10" t="s">
        <v>1</v>
      </c>
      <c r="U7" s="4" t="s">
        <v>0</v>
      </c>
      <c r="V7" s="10" t="s">
        <v>1</v>
      </c>
      <c r="W7" s="4" t="s">
        <v>0</v>
      </c>
      <c r="X7" s="10" t="s">
        <v>1</v>
      </c>
      <c r="Y7" s="4"/>
      <c r="Z7" s="4"/>
    </row>
    <row r="8" spans="2:28" x14ac:dyDescent="0.25">
      <c r="C8" s="132" t="s">
        <v>11</v>
      </c>
      <c r="D8" s="133"/>
      <c r="E8" s="5">
        <v>256</v>
      </c>
      <c r="G8" s="34">
        <v>256</v>
      </c>
      <c r="H8" s="34">
        <v>256</v>
      </c>
      <c r="I8" s="3">
        <v>256</v>
      </c>
      <c r="J8" s="11">
        <v>256</v>
      </c>
      <c r="K8" s="12">
        <v>256</v>
      </c>
      <c r="L8" s="34">
        <v>256</v>
      </c>
      <c r="M8" s="3">
        <v>256</v>
      </c>
      <c r="N8" s="11">
        <v>256</v>
      </c>
      <c r="O8" s="88">
        <v>256</v>
      </c>
      <c r="P8" s="34">
        <v>256</v>
      </c>
      <c r="Q8" s="3">
        <v>256</v>
      </c>
      <c r="R8" s="11">
        <v>256</v>
      </c>
      <c r="S8" s="12">
        <v>256</v>
      </c>
      <c r="T8" s="34">
        <v>256</v>
      </c>
      <c r="U8" s="3">
        <v>256</v>
      </c>
      <c r="V8" s="11">
        <v>256</v>
      </c>
      <c r="W8" s="12">
        <v>256</v>
      </c>
      <c r="X8" s="34">
        <v>256</v>
      </c>
      <c r="Y8" s="3"/>
      <c r="Z8" s="3"/>
    </row>
    <row r="9" spans="2:28" x14ac:dyDescent="0.25">
      <c r="C9" s="132" t="s">
        <v>2</v>
      </c>
      <c r="D9" s="133"/>
      <c r="E9" s="5">
        <v>19</v>
      </c>
      <c r="G9" s="34">
        <v>52</v>
      </c>
      <c r="H9" s="34">
        <v>116</v>
      </c>
      <c r="I9" s="3">
        <v>24</v>
      </c>
      <c r="J9" s="11">
        <v>100</v>
      </c>
      <c r="K9" s="12">
        <v>38</v>
      </c>
      <c r="L9" s="34">
        <v>75</v>
      </c>
      <c r="M9" s="3">
        <v>21</v>
      </c>
      <c r="N9" s="11">
        <v>61</v>
      </c>
      <c r="O9" s="88">
        <v>21</v>
      </c>
      <c r="P9" s="37">
        <v>35</v>
      </c>
      <c r="Q9" s="3">
        <v>20</v>
      </c>
      <c r="R9" s="11">
        <v>60</v>
      </c>
      <c r="S9" s="12">
        <v>28</v>
      </c>
      <c r="T9" s="34">
        <v>26</v>
      </c>
      <c r="U9" s="3">
        <v>26</v>
      </c>
      <c r="V9" s="11">
        <v>35</v>
      </c>
      <c r="W9" s="12">
        <v>23</v>
      </c>
      <c r="X9" s="34">
        <v>35</v>
      </c>
      <c r="Y9" s="3"/>
      <c r="Z9" s="3"/>
    </row>
    <row r="10" spans="2:28" x14ac:dyDescent="0.25">
      <c r="C10" s="2"/>
      <c r="D10" s="15" t="s">
        <v>9</v>
      </c>
      <c r="E10" s="9">
        <f>E9/E8</f>
        <v>7.421875E-2</v>
      </c>
      <c r="G10" s="38">
        <f>G9/G8</f>
        <v>0.203125</v>
      </c>
      <c r="H10" s="38">
        <f>H9/H8</f>
        <v>0.453125</v>
      </c>
      <c r="I10" s="8">
        <f t="shared" ref="I10:X10" si="0">I9/I8</f>
        <v>9.375E-2</v>
      </c>
      <c r="J10" s="13">
        <f t="shared" si="0"/>
        <v>0.390625</v>
      </c>
      <c r="K10" s="14">
        <f t="shared" si="0"/>
        <v>0.1484375</v>
      </c>
      <c r="L10" s="38">
        <f t="shared" si="0"/>
        <v>0.29296875</v>
      </c>
      <c r="M10" s="8">
        <f t="shared" si="0"/>
        <v>8.203125E-2</v>
      </c>
      <c r="N10" s="13">
        <f t="shared" si="0"/>
        <v>0.23828125</v>
      </c>
      <c r="O10" s="89">
        <f t="shared" si="0"/>
        <v>8.203125E-2</v>
      </c>
      <c r="P10" s="41">
        <f t="shared" si="0"/>
        <v>0.13671875</v>
      </c>
      <c r="Q10" s="8">
        <f t="shared" si="0"/>
        <v>7.8125E-2</v>
      </c>
      <c r="R10" s="13">
        <f t="shared" si="0"/>
        <v>0.234375</v>
      </c>
      <c r="S10" s="14">
        <f t="shared" si="0"/>
        <v>0.109375</v>
      </c>
      <c r="T10" s="38">
        <f t="shared" si="0"/>
        <v>0.1015625</v>
      </c>
      <c r="U10" s="8">
        <f t="shared" si="0"/>
        <v>0.1015625</v>
      </c>
      <c r="V10" s="13">
        <f t="shared" si="0"/>
        <v>0.13671875</v>
      </c>
      <c r="W10" s="14">
        <f t="shared" si="0"/>
        <v>8.984375E-2</v>
      </c>
      <c r="X10" s="38">
        <f t="shared" si="0"/>
        <v>0.13671875</v>
      </c>
      <c r="Y10" s="8"/>
      <c r="Z10" s="8"/>
    </row>
    <row r="11" spans="2:28" x14ac:dyDescent="0.25">
      <c r="C11" s="132" t="s">
        <v>3</v>
      </c>
      <c r="D11" s="133"/>
      <c r="E11" s="5">
        <v>32</v>
      </c>
      <c r="G11" s="34">
        <v>29</v>
      </c>
      <c r="H11" s="34">
        <v>12</v>
      </c>
      <c r="I11" s="3">
        <v>32</v>
      </c>
      <c r="J11" s="11">
        <v>17</v>
      </c>
      <c r="K11" s="12">
        <v>31</v>
      </c>
      <c r="L11" s="34">
        <v>19</v>
      </c>
      <c r="M11" s="3">
        <v>33</v>
      </c>
      <c r="N11" s="11">
        <v>24</v>
      </c>
      <c r="O11" s="88">
        <v>29</v>
      </c>
      <c r="P11" s="37">
        <v>28</v>
      </c>
      <c r="Q11" s="3">
        <v>34</v>
      </c>
      <c r="R11" s="11">
        <v>16</v>
      </c>
      <c r="S11" s="12">
        <v>30</v>
      </c>
      <c r="T11" s="34">
        <v>34</v>
      </c>
      <c r="U11" s="3">
        <v>34</v>
      </c>
      <c r="V11" s="11">
        <v>21</v>
      </c>
      <c r="W11" s="12">
        <v>33</v>
      </c>
      <c r="X11" s="34">
        <v>27</v>
      </c>
      <c r="Y11" s="3"/>
      <c r="Z11" s="3"/>
    </row>
    <row r="12" spans="2:28" x14ac:dyDescent="0.25">
      <c r="C12" s="1"/>
      <c r="D12" s="15" t="s">
        <v>10</v>
      </c>
      <c r="E12" s="9">
        <f>E11/E8</f>
        <v>0.125</v>
      </c>
      <c r="G12" s="38">
        <f>G11/G8</f>
        <v>0.11328125</v>
      </c>
      <c r="H12" s="38">
        <f>H11/H8</f>
        <v>4.6875E-2</v>
      </c>
      <c r="I12" s="8">
        <f t="shared" ref="I12:X12" si="1">I11/I8</f>
        <v>0.125</v>
      </c>
      <c r="J12" s="13">
        <f t="shared" si="1"/>
        <v>6.640625E-2</v>
      </c>
      <c r="K12" s="14">
        <f t="shared" si="1"/>
        <v>0.12109375</v>
      </c>
      <c r="L12" s="38">
        <f t="shared" si="1"/>
        <v>7.421875E-2</v>
      </c>
      <c r="M12" s="8">
        <f t="shared" si="1"/>
        <v>0.12890625</v>
      </c>
      <c r="N12" s="13">
        <f t="shared" si="1"/>
        <v>9.375E-2</v>
      </c>
      <c r="O12" s="89">
        <f t="shared" si="1"/>
        <v>0.11328125</v>
      </c>
      <c r="P12" s="57">
        <f t="shared" si="1"/>
        <v>0.109375</v>
      </c>
      <c r="Q12" s="8">
        <f t="shared" si="1"/>
        <v>0.1328125</v>
      </c>
      <c r="R12" s="13">
        <f t="shared" si="1"/>
        <v>6.25E-2</v>
      </c>
      <c r="S12" s="14">
        <f t="shared" si="1"/>
        <v>0.1171875</v>
      </c>
      <c r="T12" s="38">
        <f t="shared" si="1"/>
        <v>0.1328125</v>
      </c>
      <c r="U12" s="8">
        <f t="shared" si="1"/>
        <v>0.1328125</v>
      </c>
      <c r="V12" s="13">
        <f t="shared" si="1"/>
        <v>8.203125E-2</v>
      </c>
      <c r="W12" s="14">
        <f t="shared" si="1"/>
        <v>0.12890625</v>
      </c>
      <c r="X12" s="38">
        <f t="shared" si="1"/>
        <v>0.10546875</v>
      </c>
      <c r="Y12" s="8"/>
      <c r="Z12" s="8"/>
    </row>
    <row r="13" spans="2:28" x14ac:dyDescent="0.25">
      <c r="C13" s="134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35"/>
    </row>
    <row r="14" spans="2:28" x14ac:dyDescent="0.25">
      <c r="C14" s="132" t="s">
        <v>4</v>
      </c>
      <c r="D14" s="133"/>
      <c r="E14" s="5">
        <v>0.82</v>
      </c>
      <c r="G14" s="34">
        <v>0.64</v>
      </c>
      <c r="H14" s="34">
        <v>0.47</v>
      </c>
      <c r="I14" s="3">
        <v>0.73</v>
      </c>
      <c r="J14" s="11">
        <v>0.53</v>
      </c>
      <c r="K14" s="12">
        <v>0.67</v>
      </c>
      <c r="L14" s="34">
        <v>0.56999999999999995</v>
      </c>
      <c r="M14" s="3">
        <v>0.76</v>
      </c>
      <c r="N14" s="11">
        <v>0.6</v>
      </c>
      <c r="O14" s="88">
        <v>0.78</v>
      </c>
      <c r="P14" s="37">
        <v>0.65</v>
      </c>
      <c r="Q14" s="3">
        <v>0.74</v>
      </c>
      <c r="R14" s="11">
        <v>0.63</v>
      </c>
      <c r="S14" s="12">
        <v>0.75</v>
      </c>
      <c r="T14" s="34">
        <v>0.66</v>
      </c>
      <c r="U14" s="3">
        <v>0.73</v>
      </c>
      <c r="V14" s="11">
        <v>0.68</v>
      </c>
      <c r="W14" s="12">
        <v>0.76</v>
      </c>
      <c r="X14" s="34">
        <v>0.66</v>
      </c>
      <c r="Y14" s="3"/>
      <c r="Z14" s="3"/>
    </row>
    <row r="15" spans="2:28" x14ac:dyDescent="0.25">
      <c r="C15" s="134" t="s">
        <v>38</v>
      </c>
      <c r="D15" s="139"/>
      <c r="E15" s="5">
        <v>0.82</v>
      </c>
      <c r="G15" s="34">
        <v>0.72</v>
      </c>
      <c r="H15" s="34">
        <v>0.52</v>
      </c>
      <c r="I15" s="34">
        <v>0.81</v>
      </c>
      <c r="J15" s="35">
        <v>0.56999999999999995</v>
      </c>
      <c r="K15" s="36">
        <v>0.76</v>
      </c>
      <c r="L15" s="34">
        <v>0.66</v>
      </c>
      <c r="M15" s="34">
        <v>0.81</v>
      </c>
      <c r="N15" s="35">
        <v>0.7</v>
      </c>
      <c r="O15" s="88">
        <v>0.83</v>
      </c>
      <c r="P15" s="37">
        <v>0.78</v>
      </c>
      <c r="Q15" s="34">
        <v>0.81</v>
      </c>
      <c r="R15" s="35">
        <v>0.72</v>
      </c>
      <c r="S15" s="36">
        <v>0.8</v>
      </c>
      <c r="T15" s="34">
        <v>0.79</v>
      </c>
      <c r="U15" s="34">
        <v>0.79</v>
      </c>
      <c r="V15" s="35">
        <v>0.8</v>
      </c>
      <c r="W15" s="36">
        <v>0.81</v>
      </c>
      <c r="X15" s="34">
        <v>0.78</v>
      </c>
      <c r="Y15" s="3"/>
      <c r="Z15" s="3"/>
    </row>
    <row r="16" spans="2:28" x14ac:dyDescent="0.25">
      <c r="C16" s="132" t="s">
        <v>5</v>
      </c>
      <c r="D16" s="133"/>
      <c r="E16" s="5">
        <v>0.88</v>
      </c>
      <c r="G16" s="34">
        <v>0.76</v>
      </c>
      <c r="H16" s="34">
        <v>0.74</v>
      </c>
      <c r="I16" s="3">
        <v>0.8</v>
      </c>
      <c r="J16" s="11">
        <v>0.81</v>
      </c>
      <c r="K16" s="12">
        <v>0.76</v>
      </c>
      <c r="L16" s="34">
        <v>0.77</v>
      </c>
      <c r="M16" s="3">
        <v>0.81</v>
      </c>
      <c r="N16" s="11">
        <v>0.77</v>
      </c>
      <c r="O16" s="88">
        <v>0.83</v>
      </c>
      <c r="P16" s="37">
        <v>0.72</v>
      </c>
      <c r="Q16" s="3">
        <v>0.8</v>
      </c>
      <c r="R16" s="11">
        <v>0.78</v>
      </c>
      <c r="S16" s="12">
        <v>0.83</v>
      </c>
      <c r="T16" s="34">
        <v>0.72</v>
      </c>
      <c r="U16" s="3">
        <v>0.8</v>
      </c>
      <c r="V16" s="11">
        <v>0.76</v>
      </c>
      <c r="W16" s="12">
        <v>0.83</v>
      </c>
      <c r="X16" s="34">
        <v>0.75</v>
      </c>
      <c r="Y16" s="3"/>
      <c r="Z16" s="3"/>
    </row>
    <row r="17" spans="2:44" x14ac:dyDescent="0.25">
      <c r="C17" s="132" t="s">
        <v>6</v>
      </c>
      <c r="D17" s="133"/>
      <c r="E17" s="5">
        <v>0.93</v>
      </c>
      <c r="G17" s="34">
        <v>0.69</v>
      </c>
      <c r="H17" s="34">
        <v>0.42</v>
      </c>
      <c r="I17" s="3">
        <v>0.82</v>
      </c>
      <c r="J17" s="11">
        <v>0.51</v>
      </c>
      <c r="K17" s="12">
        <v>0.74</v>
      </c>
      <c r="L17" s="34">
        <v>0.56999999999999995</v>
      </c>
      <c r="M17" s="3">
        <v>0.85</v>
      </c>
      <c r="N17" s="11">
        <v>0.63</v>
      </c>
      <c r="O17" s="88">
        <v>0.86</v>
      </c>
      <c r="P17" s="37">
        <v>0.69</v>
      </c>
      <c r="Q17" s="3">
        <v>0.84</v>
      </c>
      <c r="R17" s="11">
        <v>0.64</v>
      </c>
      <c r="S17" s="12">
        <v>0.83</v>
      </c>
      <c r="T17" s="34">
        <v>0.72</v>
      </c>
      <c r="U17" s="3">
        <v>0.83</v>
      </c>
      <c r="V17" s="11">
        <v>0.71</v>
      </c>
      <c r="W17" s="12">
        <v>0.86</v>
      </c>
      <c r="X17" s="34">
        <v>0.71</v>
      </c>
      <c r="Y17" s="3"/>
      <c r="Z17" s="3"/>
    </row>
    <row r="18" spans="2:44" x14ac:dyDescent="0.25">
      <c r="C18" s="132" t="s">
        <v>7</v>
      </c>
      <c r="D18" s="133"/>
      <c r="E18" s="5">
        <v>0.9</v>
      </c>
      <c r="G18" s="34">
        <v>0.73</v>
      </c>
      <c r="H18" s="34">
        <v>0.49</v>
      </c>
      <c r="I18" s="3">
        <v>0.81</v>
      </c>
      <c r="J18" s="11">
        <v>0.56999999999999995</v>
      </c>
      <c r="K18" s="12">
        <v>0.75</v>
      </c>
      <c r="L18" s="34">
        <v>0.62</v>
      </c>
      <c r="M18" s="3">
        <v>0.83</v>
      </c>
      <c r="N18" s="11">
        <v>0.67</v>
      </c>
      <c r="O18" s="88">
        <v>0.84</v>
      </c>
      <c r="P18" s="37">
        <v>0.7</v>
      </c>
      <c r="Q18" s="3">
        <v>0.82</v>
      </c>
      <c r="R18" s="11">
        <v>0.68</v>
      </c>
      <c r="S18" s="12">
        <v>0.83</v>
      </c>
      <c r="T18" s="34">
        <v>0.71</v>
      </c>
      <c r="U18" s="3">
        <v>0.81</v>
      </c>
      <c r="V18" s="11">
        <v>0.73</v>
      </c>
      <c r="W18" s="12">
        <v>0.84</v>
      </c>
      <c r="X18" s="34">
        <v>0.72</v>
      </c>
      <c r="Y18" s="3"/>
      <c r="Z18" s="3"/>
    </row>
    <row r="19" spans="2:44" x14ac:dyDescent="0.25">
      <c r="C19" s="134"/>
      <c r="D19" s="117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31"/>
      <c r="Q19" s="25"/>
      <c r="R19" s="25"/>
      <c r="S19" s="25"/>
      <c r="T19" s="25"/>
      <c r="U19" s="25"/>
      <c r="V19" s="25"/>
      <c r="W19" s="25"/>
      <c r="X19" s="25"/>
      <c r="Y19" s="25"/>
      <c r="Z19" s="26"/>
    </row>
    <row r="20" spans="2:44" x14ac:dyDescent="0.25">
      <c r="C20" s="134" t="s">
        <v>37</v>
      </c>
      <c r="D20" s="117"/>
      <c r="E20" s="5"/>
      <c r="F20" s="5"/>
      <c r="G20" s="5">
        <v>0.65</v>
      </c>
      <c r="H20" s="5">
        <v>0.625</v>
      </c>
      <c r="I20" s="5">
        <v>0.52500000000000002</v>
      </c>
      <c r="J20" s="5">
        <v>0.67500000000000004</v>
      </c>
      <c r="K20" s="5">
        <v>0.6</v>
      </c>
      <c r="L20" s="5">
        <v>0.65</v>
      </c>
      <c r="M20" s="5">
        <v>0.52500000000000002</v>
      </c>
      <c r="N20" s="5">
        <v>0.6</v>
      </c>
      <c r="O20" s="5">
        <v>0.52500000000000002</v>
      </c>
      <c r="P20" s="30">
        <v>0.55000000000000004</v>
      </c>
      <c r="Q20" s="5">
        <v>0.5</v>
      </c>
      <c r="R20" s="5">
        <v>0.65</v>
      </c>
      <c r="S20" s="5">
        <v>0.65</v>
      </c>
      <c r="T20" s="5">
        <v>0.47499999999999998</v>
      </c>
      <c r="U20" s="5">
        <v>0.55000000000000004</v>
      </c>
      <c r="V20" s="5">
        <v>0.6</v>
      </c>
      <c r="W20" s="5">
        <v>0.55000000000000004</v>
      </c>
      <c r="X20" s="5"/>
      <c r="Y20" s="5"/>
      <c r="Z20" s="5"/>
    </row>
    <row r="21" spans="2:44" x14ac:dyDescent="0.25">
      <c r="C21" s="127" t="s">
        <v>36</v>
      </c>
      <c r="D21" s="27" t="s">
        <v>33</v>
      </c>
      <c r="E21" s="28"/>
      <c r="F21" s="3"/>
      <c r="G21" s="3">
        <v>0.72</v>
      </c>
      <c r="H21" s="3">
        <v>0.56999999999999995</v>
      </c>
      <c r="I21" s="3">
        <v>0.8</v>
      </c>
      <c r="J21" s="3">
        <v>0.66</v>
      </c>
      <c r="K21" s="34">
        <v>0.74</v>
      </c>
      <c r="L21" s="34">
        <v>0.66</v>
      </c>
      <c r="M21" s="3">
        <v>0.82</v>
      </c>
      <c r="N21" s="3">
        <v>0.69</v>
      </c>
      <c r="O21" s="3">
        <v>0.83</v>
      </c>
      <c r="P21" s="3">
        <v>0.7</v>
      </c>
      <c r="Q21" s="3">
        <v>0.81</v>
      </c>
      <c r="R21" s="3">
        <v>0.7</v>
      </c>
      <c r="S21" s="34">
        <v>0.82</v>
      </c>
      <c r="T21" s="34">
        <v>0.71</v>
      </c>
      <c r="U21" s="3">
        <v>0.8</v>
      </c>
      <c r="V21" s="3">
        <v>0.73</v>
      </c>
      <c r="W21" s="3">
        <v>0.83</v>
      </c>
      <c r="X21" s="3">
        <v>0.72</v>
      </c>
      <c r="Y21" s="28"/>
      <c r="Z21" s="28"/>
    </row>
    <row r="22" spans="2:44" x14ac:dyDescent="0.25">
      <c r="C22" s="127"/>
      <c r="D22" s="27" t="s">
        <v>34</v>
      </c>
      <c r="E22" s="28"/>
      <c r="F22" s="3"/>
      <c r="G22" s="3">
        <v>0.51</v>
      </c>
      <c r="H22" s="3">
        <v>0.41</v>
      </c>
      <c r="I22" s="3">
        <v>0.56000000000000005</v>
      </c>
      <c r="J22" s="3">
        <v>0.46</v>
      </c>
      <c r="K22" s="34">
        <v>0.53</v>
      </c>
      <c r="L22" s="34">
        <v>0.47</v>
      </c>
      <c r="M22" s="3">
        <v>0.57999999999999996</v>
      </c>
      <c r="N22" s="3">
        <v>0.49</v>
      </c>
      <c r="O22" s="3">
        <v>0.59</v>
      </c>
      <c r="P22" s="3">
        <v>0.5</v>
      </c>
      <c r="Q22" s="3">
        <v>0.56999999999999995</v>
      </c>
      <c r="R22" s="3">
        <v>0.5</v>
      </c>
      <c r="S22" s="34">
        <v>0.57999999999999996</v>
      </c>
      <c r="T22" s="34">
        <v>0.5</v>
      </c>
      <c r="U22" s="3">
        <v>0.56999999999999995</v>
      </c>
      <c r="V22" s="3">
        <v>0.51</v>
      </c>
      <c r="W22" s="3">
        <v>0.59</v>
      </c>
      <c r="X22" s="3">
        <v>0.51</v>
      </c>
      <c r="Y22" s="28"/>
      <c r="Z22" s="28"/>
    </row>
    <row r="23" spans="2:44" x14ac:dyDescent="0.25">
      <c r="C23" s="127" t="s">
        <v>35</v>
      </c>
      <c r="D23" s="27" t="s">
        <v>33</v>
      </c>
      <c r="E23" s="28"/>
      <c r="F23" s="3"/>
      <c r="G23" s="3">
        <v>0.65</v>
      </c>
      <c r="H23" s="3">
        <v>0.52</v>
      </c>
      <c r="I23" s="3">
        <v>0.73</v>
      </c>
      <c r="J23" s="3">
        <v>0.59</v>
      </c>
      <c r="K23" s="34">
        <v>0.68</v>
      </c>
      <c r="L23" s="34">
        <v>0.6</v>
      </c>
      <c r="M23" s="3">
        <v>0.75</v>
      </c>
      <c r="N23" s="3">
        <v>0.63</v>
      </c>
      <c r="O23" s="3">
        <v>0.76</v>
      </c>
      <c r="P23" s="3">
        <v>0.64</v>
      </c>
      <c r="Q23" s="3">
        <v>0.73</v>
      </c>
      <c r="R23" s="3">
        <v>0.64</v>
      </c>
      <c r="S23" s="34">
        <v>0.74</v>
      </c>
      <c r="T23" s="34">
        <v>0.65</v>
      </c>
      <c r="U23" s="3">
        <v>0.73</v>
      </c>
      <c r="V23" s="3">
        <v>0.66</v>
      </c>
      <c r="W23" s="3">
        <v>0.76</v>
      </c>
      <c r="X23" s="3">
        <v>0.66</v>
      </c>
      <c r="Y23" s="28"/>
      <c r="Z23" s="28"/>
    </row>
    <row r="24" spans="2:44" x14ac:dyDescent="0.25">
      <c r="C24" s="127"/>
      <c r="D24" s="27" t="s">
        <v>34</v>
      </c>
      <c r="E24" s="28"/>
      <c r="F24" s="3"/>
      <c r="G24" s="3">
        <v>0.36</v>
      </c>
      <c r="H24" s="3">
        <v>0.28999999999999998</v>
      </c>
      <c r="I24" s="3">
        <v>0.4</v>
      </c>
      <c r="J24" s="3">
        <v>0.33</v>
      </c>
      <c r="K24" s="34">
        <v>0.38</v>
      </c>
      <c r="L24" s="34">
        <v>0.34</v>
      </c>
      <c r="M24" s="3">
        <v>0.41</v>
      </c>
      <c r="N24" s="3">
        <v>0.35</v>
      </c>
      <c r="O24" s="3">
        <v>0.42</v>
      </c>
      <c r="P24" s="3">
        <v>0.35</v>
      </c>
      <c r="Q24" s="3">
        <v>0.41</v>
      </c>
      <c r="R24" s="3">
        <v>0.35</v>
      </c>
      <c r="S24" s="34">
        <v>0.41</v>
      </c>
      <c r="T24" s="34">
        <v>0.36</v>
      </c>
      <c r="U24" s="3">
        <v>0.41</v>
      </c>
      <c r="V24" s="3">
        <v>0.37</v>
      </c>
      <c r="W24" s="3">
        <v>0.42</v>
      </c>
      <c r="X24" s="3">
        <v>0.36</v>
      </c>
      <c r="Y24" s="28"/>
      <c r="Z24" s="28"/>
    </row>
    <row r="25" spans="2:44" x14ac:dyDescent="0.25">
      <c r="C25" s="132" t="s">
        <v>15</v>
      </c>
      <c r="D25" s="133"/>
      <c r="E25" s="22"/>
      <c r="F25" s="19"/>
      <c r="G25" s="19">
        <v>0.82</v>
      </c>
      <c r="H25" s="19">
        <v>0.65</v>
      </c>
      <c r="I25" s="19">
        <v>0.86</v>
      </c>
      <c r="J25" s="20">
        <v>0.71</v>
      </c>
      <c r="K25" s="32">
        <v>0.84</v>
      </c>
      <c r="L25" s="19">
        <v>0.77</v>
      </c>
      <c r="M25" s="19">
        <v>0.92</v>
      </c>
      <c r="N25" s="20">
        <v>0.81</v>
      </c>
      <c r="O25" s="32">
        <v>0.92</v>
      </c>
      <c r="P25" s="33">
        <v>0.84</v>
      </c>
      <c r="Q25" s="19">
        <v>0.94</v>
      </c>
      <c r="R25" s="20">
        <v>0.84</v>
      </c>
      <c r="S25" s="32">
        <v>0.92</v>
      </c>
      <c r="T25" s="19">
        <v>0.88</v>
      </c>
      <c r="U25" s="19">
        <v>0.94</v>
      </c>
      <c r="V25" s="20">
        <v>0.89</v>
      </c>
      <c r="W25" s="32">
        <v>0.96</v>
      </c>
      <c r="X25" s="19">
        <v>0.87</v>
      </c>
      <c r="Y25" s="19"/>
      <c r="Z25" s="19"/>
    </row>
    <row r="26" spans="2:44" x14ac:dyDescent="0.25">
      <c r="C26" s="136" t="s">
        <v>31</v>
      </c>
      <c r="D26" s="136"/>
      <c r="E26" s="28"/>
      <c r="F26" s="3"/>
      <c r="G26" s="3">
        <v>0.16</v>
      </c>
      <c r="H26" s="3">
        <v>0.17</v>
      </c>
      <c r="I26" s="3">
        <v>0.16</v>
      </c>
      <c r="J26" s="3">
        <v>0.22</v>
      </c>
      <c r="K26" s="3">
        <v>0.17</v>
      </c>
      <c r="L26" s="34">
        <v>0.16</v>
      </c>
      <c r="M26" s="34">
        <v>0.17</v>
      </c>
      <c r="N26" s="34">
        <v>0.16</v>
      </c>
      <c r="O26" s="34">
        <v>0.16</v>
      </c>
      <c r="P26" s="34">
        <v>0.16</v>
      </c>
      <c r="Q26" s="34">
        <v>0.16</v>
      </c>
      <c r="R26" s="34">
        <v>0.16</v>
      </c>
      <c r="S26" s="34">
        <v>0.17</v>
      </c>
      <c r="T26" s="34">
        <v>0.16</v>
      </c>
      <c r="U26" s="3">
        <v>0.16</v>
      </c>
      <c r="V26" s="3">
        <v>0.15</v>
      </c>
      <c r="W26" s="3">
        <v>0.15</v>
      </c>
      <c r="X26" s="3">
        <v>0.17</v>
      </c>
      <c r="Y26" s="28"/>
      <c r="Z26" s="28"/>
    </row>
    <row r="27" spans="2:44" x14ac:dyDescent="0.25">
      <c r="C27" s="136" t="s">
        <v>32</v>
      </c>
      <c r="D27" s="136"/>
      <c r="E27" s="28"/>
      <c r="F27" s="3"/>
      <c r="G27" s="3"/>
      <c r="H27" s="3">
        <v>7.9</v>
      </c>
      <c r="I27" s="3"/>
      <c r="J27" s="3"/>
      <c r="K27" s="3"/>
      <c r="L27" s="34"/>
      <c r="M27" s="34"/>
      <c r="N27" s="34">
        <v>7.7</v>
      </c>
      <c r="O27" s="34">
        <v>8.4</v>
      </c>
      <c r="P27" s="34">
        <v>7.6</v>
      </c>
      <c r="Q27" s="34"/>
      <c r="R27" s="34"/>
      <c r="S27" s="34"/>
      <c r="T27" s="34">
        <v>7.4</v>
      </c>
      <c r="U27" s="28"/>
      <c r="V27" s="3">
        <v>7.4</v>
      </c>
      <c r="W27" s="28"/>
      <c r="X27" s="3">
        <v>7.4</v>
      </c>
      <c r="Y27" s="28"/>
      <c r="Z27" s="28"/>
    </row>
    <row r="28" spans="2:44" x14ac:dyDescent="0.25">
      <c r="C28" s="17"/>
    </row>
    <row r="29" spans="2:44" x14ac:dyDescent="0.25">
      <c r="B29" s="17" t="s">
        <v>12</v>
      </c>
    </row>
    <row r="30" spans="2:44" x14ac:dyDescent="0.25">
      <c r="B30" s="140" t="s">
        <v>16</v>
      </c>
      <c r="C30" s="140"/>
      <c r="D30" s="23" t="s">
        <v>25</v>
      </c>
    </row>
    <row r="31" spans="2:44" x14ac:dyDescent="0.25">
      <c r="B31" s="140" t="s">
        <v>21</v>
      </c>
      <c r="C31" s="140"/>
      <c r="D31" s="24"/>
      <c r="Q31" s="148" t="s">
        <v>83</v>
      </c>
      <c r="R31" s="148"/>
      <c r="W31" s="148" t="s">
        <v>84</v>
      </c>
      <c r="X31" s="148"/>
      <c r="AD31" t="s">
        <v>40</v>
      </c>
      <c r="AL31" t="s">
        <v>41</v>
      </c>
    </row>
    <row r="32" spans="2:44" ht="15.75" thickBot="1" x14ac:dyDescent="0.3">
      <c r="B32" t="s">
        <v>27</v>
      </c>
      <c r="E32" s="149" t="s">
        <v>13</v>
      </c>
      <c r="F32" s="149"/>
      <c r="H32" s="144" t="s">
        <v>28</v>
      </c>
      <c r="I32" s="144"/>
      <c r="J32" s="144"/>
      <c r="K32" s="144"/>
      <c r="P32" s="144" t="s">
        <v>73</v>
      </c>
      <c r="Q32" s="144"/>
      <c r="R32" s="144"/>
      <c r="S32" s="144"/>
      <c r="V32" s="144" t="s">
        <v>73</v>
      </c>
      <c r="W32" s="144"/>
      <c r="X32" s="144"/>
      <c r="Y32" s="144"/>
      <c r="AB32" t="s">
        <v>52</v>
      </c>
      <c r="AR32" t="s">
        <v>51</v>
      </c>
    </row>
    <row r="33" spans="2:26" ht="15" customHeight="1" x14ac:dyDescent="0.25">
      <c r="B33" t="s">
        <v>39</v>
      </c>
      <c r="C33" s="137" t="s">
        <v>30</v>
      </c>
      <c r="D33" s="141"/>
      <c r="E33" s="119" t="s">
        <v>14</v>
      </c>
      <c r="F33" s="120"/>
      <c r="G33" s="123">
        <v>100</v>
      </c>
      <c r="H33" s="124"/>
      <c r="I33" s="123">
        <v>200</v>
      </c>
      <c r="J33" s="124"/>
      <c r="K33" s="123">
        <v>300</v>
      </c>
      <c r="L33" s="124"/>
      <c r="M33" s="123"/>
      <c r="N33" s="124"/>
      <c r="O33" s="123">
        <v>100</v>
      </c>
      <c r="P33" s="124"/>
      <c r="Q33" s="123">
        <v>200</v>
      </c>
      <c r="R33" s="124"/>
      <c r="S33" s="123">
        <v>300</v>
      </c>
      <c r="T33" s="124"/>
      <c r="U33" s="123">
        <v>100</v>
      </c>
      <c r="V33" s="124"/>
      <c r="W33" s="123">
        <v>200</v>
      </c>
      <c r="X33" s="124"/>
      <c r="Y33" s="123">
        <v>300</v>
      </c>
      <c r="Z33" s="124"/>
    </row>
    <row r="34" spans="2:26" ht="15.75" thickBot="1" x14ac:dyDescent="0.3">
      <c r="C34" s="137" t="s">
        <v>8</v>
      </c>
      <c r="D34" s="141"/>
      <c r="E34" s="121"/>
      <c r="F34" s="122"/>
      <c r="G34" s="16" t="s">
        <v>0</v>
      </c>
      <c r="H34" s="10" t="s">
        <v>1</v>
      </c>
      <c r="I34" s="4" t="s">
        <v>0</v>
      </c>
      <c r="J34" s="10" t="s">
        <v>1</v>
      </c>
      <c r="K34" s="4" t="s">
        <v>0</v>
      </c>
      <c r="L34" s="10" t="s">
        <v>1</v>
      </c>
      <c r="M34" s="4"/>
      <c r="N34" s="10"/>
      <c r="O34" s="4" t="s">
        <v>0</v>
      </c>
      <c r="P34" s="10" t="s">
        <v>1</v>
      </c>
      <c r="Q34" s="4" t="s">
        <v>0</v>
      </c>
      <c r="R34" s="10" t="s">
        <v>1</v>
      </c>
      <c r="S34" s="4" t="s">
        <v>0</v>
      </c>
      <c r="T34" s="10" t="s">
        <v>1</v>
      </c>
      <c r="U34" s="4" t="s">
        <v>0</v>
      </c>
      <c r="V34" s="10" t="s">
        <v>1</v>
      </c>
      <c r="W34" s="4" t="s">
        <v>0</v>
      </c>
      <c r="X34" s="10" t="s">
        <v>1</v>
      </c>
      <c r="Y34" s="4" t="s">
        <v>0</v>
      </c>
      <c r="Z34" s="10" t="s">
        <v>1</v>
      </c>
    </row>
    <row r="35" spans="2:26" x14ac:dyDescent="0.25">
      <c r="C35" s="132" t="s">
        <v>11</v>
      </c>
      <c r="D35" s="133"/>
      <c r="E35" s="18">
        <v>256</v>
      </c>
      <c r="G35" s="34">
        <v>256</v>
      </c>
      <c r="H35" s="34">
        <v>256</v>
      </c>
      <c r="I35" s="34">
        <v>256</v>
      </c>
      <c r="J35" s="35">
        <v>256</v>
      </c>
      <c r="K35" s="36">
        <v>256</v>
      </c>
      <c r="L35" s="34">
        <v>256</v>
      </c>
      <c r="M35" s="34"/>
      <c r="N35" s="35"/>
      <c r="O35" s="90">
        <v>256</v>
      </c>
      <c r="P35" s="3">
        <v>256</v>
      </c>
      <c r="Q35" s="91">
        <v>256</v>
      </c>
      <c r="R35" s="11">
        <v>256</v>
      </c>
      <c r="S35" s="90">
        <v>256</v>
      </c>
      <c r="T35" s="34">
        <v>256</v>
      </c>
      <c r="U35" s="92">
        <v>256</v>
      </c>
      <c r="V35" s="93">
        <v>256</v>
      </c>
      <c r="W35" s="93">
        <v>256</v>
      </c>
      <c r="X35" s="34">
        <v>256</v>
      </c>
      <c r="Y35" s="93">
        <v>256</v>
      </c>
      <c r="Z35" s="34">
        <v>256</v>
      </c>
    </row>
    <row r="36" spans="2:26" x14ac:dyDescent="0.25">
      <c r="C36" s="132" t="s">
        <v>2</v>
      </c>
      <c r="D36" s="133"/>
      <c r="E36" s="5">
        <v>19</v>
      </c>
      <c r="G36" s="34">
        <v>39</v>
      </c>
      <c r="H36" s="34">
        <v>124</v>
      </c>
      <c r="I36" s="34">
        <v>50</v>
      </c>
      <c r="J36" s="35">
        <v>130</v>
      </c>
      <c r="K36" s="36">
        <v>22</v>
      </c>
      <c r="L36" s="34">
        <v>113</v>
      </c>
      <c r="M36" s="34"/>
      <c r="N36" s="35"/>
      <c r="O36" s="90">
        <v>20</v>
      </c>
      <c r="P36" s="71">
        <v>25</v>
      </c>
      <c r="Q36" s="91">
        <v>20</v>
      </c>
      <c r="R36" s="11">
        <v>26</v>
      </c>
      <c r="S36" s="90">
        <v>21</v>
      </c>
      <c r="T36" s="35">
        <v>32</v>
      </c>
      <c r="U36" s="92">
        <v>21</v>
      </c>
      <c r="V36" s="93">
        <v>24</v>
      </c>
      <c r="W36" s="93">
        <v>21</v>
      </c>
      <c r="X36" s="34">
        <v>32</v>
      </c>
      <c r="Y36" s="93">
        <v>20</v>
      </c>
      <c r="Z36" s="3">
        <v>32</v>
      </c>
    </row>
    <row r="37" spans="2:26" x14ac:dyDescent="0.25">
      <c r="C37" s="2"/>
      <c r="D37" s="15" t="s">
        <v>9</v>
      </c>
      <c r="E37" s="9">
        <f>E36/E35</f>
        <v>7.421875E-2</v>
      </c>
      <c r="G37" s="38">
        <f>G36/G35</f>
        <v>0.15234375</v>
      </c>
      <c r="H37" s="38">
        <f>H36/H35</f>
        <v>0.484375</v>
      </c>
      <c r="I37" s="38">
        <f t="shared" ref="I37:L37" si="2">I36/I35</f>
        <v>0.1953125</v>
      </c>
      <c r="J37" s="39">
        <f t="shared" si="2"/>
        <v>0.5078125</v>
      </c>
      <c r="K37" s="40">
        <f>K36/K35</f>
        <v>8.59375E-2</v>
      </c>
      <c r="L37" s="38">
        <f t="shared" si="2"/>
        <v>0.44140625</v>
      </c>
      <c r="M37" s="38"/>
      <c r="N37" s="39"/>
      <c r="O37" s="94">
        <f>O36/O35</f>
        <v>7.8125E-2</v>
      </c>
      <c r="P37" s="95">
        <f t="shared" ref="P37:Z37" si="3">P36/P35</f>
        <v>9.765625E-2</v>
      </c>
      <c r="Q37" s="96">
        <f t="shared" si="3"/>
        <v>7.8125E-2</v>
      </c>
      <c r="R37" s="97">
        <f t="shared" si="3"/>
        <v>0.1015625</v>
      </c>
      <c r="S37" s="94">
        <f>S36/S35</f>
        <v>8.203125E-2</v>
      </c>
      <c r="T37" s="39">
        <f t="shared" si="3"/>
        <v>0.125</v>
      </c>
      <c r="U37" s="98">
        <f t="shared" si="3"/>
        <v>8.203125E-2</v>
      </c>
      <c r="V37" s="98">
        <f t="shared" si="3"/>
        <v>9.375E-2</v>
      </c>
      <c r="W37" s="98">
        <f t="shared" si="3"/>
        <v>8.203125E-2</v>
      </c>
      <c r="X37" s="39">
        <f t="shared" si="3"/>
        <v>0.125</v>
      </c>
      <c r="Y37" s="98">
        <f t="shared" si="3"/>
        <v>7.8125E-2</v>
      </c>
      <c r="Z37" s="39">
        <f t="shared" si="3"/>
        <v>0.125</v>
      </c>
    </row>
    <row r="38" spans="2:26" x14ac:dyDescent="0.25">
      <c r="C38" s="132" t="s">
        <v>3</v>
      </c>
      <c r="D38" s="133"/>
      <c r="E38" s="5">
        <v>32</v>
      </c>
      <c r="G38" s="34">
        <v>31</v>
      </c>
      <c r="H38" s="34">
        <v>9</v>
      </c>
      <c r="I38" s="34">
        <v>28</v>
      </c>
      <c r="J38" s="35">
        <v>13</v>
      </c>
      <c r="K38" s="36">
        <v>36</v>
      </c>
      <c r="L38" s="34">
        <v>16</v>
      </c>
      <c r="M38" s="34"/>
      <c r="N38" s="35"/>
      <c r="O38" s="90">
        <v>34</v>
      </c>
      <c r="P38" s="71">
        <v>27</v>
      </c>
      <c r="Q38" s="91">
        <v>34</v>
      </c>
      <c r="R38" s="11">
        <v>33</v>
      </c>
      <c r="S38" s="90">
        <v>35</v>
      </c>
      <c r="T38" s="35">
        <v>32</v>
      </c>
      <c r="U38" s="92">
        <v>35</v>
      </c>
      <c r="V38" s="93">
        <v>29</v>
      </c>
      <c r="W38" s="93">
        <v>35</v>
      </c>
      <c r="X38" s="34">
        <v>30</v>
      </c>
      <c r="Y38" s="93">
        <v>34</v>
      </c>
      <c r="Z38" s="3">
        <v>32</v>
      </c>
    </row>
    <row r="39" spans="2:26" x14ac:dyDescent="0.25">
      <c r="C39" s="1"/>
      <c r="D39" s="15" t="s">
        <v>10</v>
      </c>
      <c r="E39" s="9">
        <f>E38/E35</f>
        <v>0.125</v>
      </c>
      <c r="G39" s="38">
        <f>G38/G35</f>
        <v>0.12109375</v>
      </c>
      <c r="H39" s="38">
        <f>H38/H35</f>
        <v>3.515625E-2</v>
      </c>
      <c r="I39" s="38">
        <f t="shared" ref="I39:L39" si="4">I38/I35</f>
        <v>0.109375</v>
      </c>
      <c r="J39" s="39">
        <f t="shared" si="4"/>
        <v>5.078125E-2</v>
      </c>
      <c r="K39" s="40">
        <f>K38/K35</f>
        <v>0.140625</v>
      </c>
      <c r="L39" s="38">
        <f t="shared" si="4"/>
        <v>6.25E-2</v>
      </c>
      <c r="M39" s="38"/>
      <c r="N39" s="39"/>
      <c r="O39" s="94">
        <f>O38/O35</f>
        <v>0.1328125</v>
      </c>
      <c r="P39" s="99">
        <f t="shared" ref="P39:Z39" si="5">P38/P35</f>
        <v>0.10546875</v>
      </c>
      <c r="Q39" s="96">
        <f t="shared" si="5"/>
        <v>0.1328125</v>
      </c>
      <c r="R39" s="97">
        <f t="shared" si="5"/>
        <v>0.12890625</v>
      </c>
      <c r="S39" s="94">
        <f>S38/S35</f>
        <v>0.13671875</v>
      </c>
      <c r="T39" s="39">
        <f t="shared" si="5"/>
        <v>0.125</v>
      </c>
      <c r="U39" s="98">
        <f t="shared" si="5"/>
        <v>0.13671875</v>
      </c>
      <c r="V39" s="98">
        <f t="shared" si="5"/>
        <v>0.11328125</v>
      </c>
      <c r="W39" s="98">
        <f t="shared" si="5"/>
        <v>0.13671875</v>
      </c>
      <c r="X39" s="39">
        <f t="shared" si="5"/>
        <v>0.1171875</v>
      </c>
      <c r="Y39" s="98">
        <f t="shared" si="5"/>
        <v>0.1328125</v>
      </c>
      <c r="Z39" s="39">
        <f t="shared" si="5"/>
        <v>0.125</v>
      </c>
    </row>
    <row r="40" spans="2:26" x14ac:dyDescent="0.25">
      <c r="C40" s="134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35"/>
    </row>
    <row r="41" spans="2:26" x14ac:dyDescent="0.25">
      <c r="C41" s="132" t="s">
        <v>4</v>
      </c>
      <c r="D41" s="133"/>
      <c r="E41" s="5">
        <v>0.82</v>
      </c>
      <c r="G41" s="34">
        <v>0.66</v>
      </c>
      <c r="H41" s="34">
        <v>0.48</v>
      </c>
      <c r="I41" s="34">
        <v>0.64</v>
      </c>
      <c r="J41" s="35">
        <v>0.42</v>
      </c>
      <c r="K41" s="36">
        <v>0.68</v>
      </c>
      <c r="L41" s="34">
        <v>0.45</v>
      </c>
      <c r="M41" s="34"/>
      <c r="N41" s="35"/>
      <c r="O41" s="90">
        <v>0.73</v>
      </c>
      <c r="P41" s="71">
        <v>0.64</v>
      </c>
      <c r="Q41" s="91">
        <v>0.75</v>
      </c>
      <c r="R41" s="11">
        <v>0.63</v>
      </c>
      <c r="S41" s="90">
        <v>0.73</v>
      </c>
      <c r="T41" s="11">
        <v>0.65</v>
      </c>
      <c r="U41" s="93">
        <v>0.73</v>
      </c>
      <c r="V41" s="93">
        <v>0.67</v>
      </c>
      <c r="W41" s="93">
        <v>0.76</v>
      </c>
      <c r="X41" s="34">
        <v>0.61</v>
      </c>
      <c r="Y41" s="93">
        <v>0.74</v>
      </c>
      <c r="Z41" s="3">
        <v>0.63</v>
      </c>
    </row>
    <row r="42" spans="2:26" x14ac:dyDescent="0.25">
      <c r="C42" s="134" t="s">
        <v>38</v>
      </c>
      <c r="D42" s="139"/>
      <c r="E42" s="5">
        <v>0.82</v>
      </c>
      <c r="G42" s="34">
        <v>0.76</v>
      </c>
      <c r="H42" s="34">
        <v>0.5</v>
      </c>
      <c r="I42" s="34">
        <v>0.73</v>
      </c>
      <c r="J42" s="35">
        <v>0.47</v>
      </c>
      <c r="K42" s="36">
        <v>0.8</v>
      </c>
      <c r="L42" s="34">
        <v>0.53</v>
      </c>
      <c r="M42" s="34"/>
      <c r="N42" s="35"/>
      <c r="O42" s="90">
        <v>0.81</v>
      </c>
      <c r="P42" s="71">
        <v>0.82</v>
      </c>
      <c r="Q42" s="91">
        <v>0.81</v>
      </c>
      <c r="R42" s="11">
        <v>0.8</v>
      </c>
      <c r="S42" s="90">
        <v>0.81</v>
      </c>
      <c r="T42" s="11">
        <v>0.78</v>
      </c>
      <c r="U42" s="92">
        <v>0.81</v>
      </c>
      <c r="V42" s="93">
        <v>0.81</v>
      </c>
      <c r="W42" s="93">
        <v>0.81</v>
      </c>
      <c r="X42" s="34">
        <v>0.78</v>
      </c>
      <c r="Y42" s="93">
        <v>0.81</v>
      </c>
      <c r="Z42" s="3">
        <v>0.78</v>
      </c>
    </row>
    <row r="43" spans="2:26" x14ac:dyDescent="0.25">
      <c r="C43" s="132" t="s">
        <v>5</v>
      </c>
      <c r="D43" s="133"/>
      <c r="E43" s="5">
        <v>0.88</v>
      </c>
      <c r="G43" s="34">
        <v>0.75</v>
      </c>
      <c r="H43" s="34">
        <v>0.84</v>
      </c>
      <c r="I43" s="34">
        <v>0.76</v>
      </c>
      <c r="J43" s="35">
        <v>0.71</v>
      </c>
      <c r="K43" s="36">
        <v>0.73</v>
      </c>
      <c r="L43" s="34">
        <v>0.6</v>
      </c>
      <c r="M43" s="34"/>
      <c r="N43" s="35"/>
      <c r="O43" s="90">
        <v>0.79</v>
      </c>
      <c r="P43" s="71">
        <v>0.69</v>
      </c>
      <c r="Q43" s="91">
        <v>0.8</v>
      </c>
      <c r="R43" s="11">
        <v>0.7</v>
      </c>
      <c r="S43" s="90">
        <v>0.79</v>
      </c>
      <c r="T43" s="11">
        <v>0.72</v>
      </c>
      <c r="U43" s="93">
        <v>0.79</v>
      </c>
      <c r="V43" s="93">
        <v>0.72</v>
      </c>
      <c r="W43" s="93">
        <v>0.82</v>
      </c>
      <c r="X43" s="34">
        <v>0.7</v>
      </c>
      <c r="Y43" s="93">
        <v>0.79</v>
      </c>
      <c r="Z43" s="3">
        <v>0.7</v>
      </c>
    </row>
    <row r="44" spans="2:26" x14ac:dyDescent="0.25">
      <c r="C44" s="132" t="s">
        <v>6</v>
      </c>
      <c r="D44" s="133"/>
      <c r="E44" s="5">
        <v>0.93</v>
      </c>
      <c r="G44" s="34">
        <v>0.73</v>
      </c>
      <c r="H44" s="34">
        <v>0.42</v>
      </c>
      <c r="I44" s="34">
        <v>0.69</v>
      </c>
      <c r="J44" s="35">
        <v>0.37</v>
      </c>
      <c r="K44" s="36">
        <v>0.77</v>
      </c>
      <c r="L44" s="34">
        <v>0.39</v>
      </c>
      <c r="M44" s="34"/>
      <c r="N44" s="35"/>
      <c r="O44" s="90">
        <v>0.83</v>
      </c>
      <c r="P44" s="71">
        <v>0.68</v>
      </c>
      <c r="Q44" s="91">
        <v>0.84</v>
      </c>
      <c r="R44" s="11">
        <v>0.7</v>
      </c>
      <c r="S44" s="90">
        <v>0.83</v>
      </c>
      <c r="T44" s="11">
        <v>0.71</v>
      </c>
      <c r="U44" s="93">
        <v>0.83</v>
      </c>
      <c r="V44" s="93">
        <v>0.72</v>
      </c>
      <c r="W44" s="93">
        <v>0.86</v>
      </c>
      <c r="X44" s="34">
        <v>0.67</v>
      </c>
      <c r="Y44" s="93">
        <v>0.84</v>
      </c>
      <c r="Z44" s="3">
        <v>0.69</v>
      </c>
    </row>
    <row r="45" spans="2:26" x14ac:dyDescent="0.25">
      <c r="C45" s="132" t="s">
        <v>7</v>
      </c>
      <c r="D45" s="133"/>
      <c r="E45" s="5">
        <v>0.9</v>
      </c>
      <c r="G45" s="34">
        <v>0.74</v>
      </c>
      <c r="H45" s="34">
        <v>0.48</v>
      </c>
      <c r="I45" s="34">
        <v>0.72</v>
      </c>
      <c r="J45" s="35">
        <v>0.44</v>
      </c>
      <c r="K45" s="36">
        <v>0.74</v>
      </c>
      <c r="L45" s="34">
        <v>0.42</v>
      </c>
      <c r="M45" s="34"/>
      <c r="N45" s="35"/>
      <c r="O45" s="90">
        <v>0.81</v>
      </c>
      <c r="P45" s="71">
        <v>0.67</v>
      </c>
      <c r="Q45" s="91">
        <v>0.82</v>
      </c>
      <c r="R45" s="11">
        <v>0.68</v>
      </c>
      <c r="S45" s="90">
        <v>0.8</v>
      </c>
      <c r="T45" s="11">
        <v>0.71</v>
      </c>
      <c r="U45" s="93">
        <v>0.81</v>
      </c>
      <c r="V45" s="93">
        <v>0.71</v>
      </c>
      <c r="W45" s="93">
        <v>0.83</v>
      </c>
      <c r="X45" s="34">
        <v>0.65</v>
      </c>
      <c r="Y45" s="93">
        <v>0.81</v>
      </c>
      <c r="Z45" s="3">
        <v>0.68</v>
      </c>
    </row>
    <row r="46" spans="2:26" x14ac:dyDescent="0.25">
      <c r="C46" s="134"/>
      <c r="D46" s="117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31"/>
      <c r="Q46" s="25"/>
      <c r="R46" s="25"/>
      <c r="S46" s="25"/>
      <c r="T46" s="25"/>
      <c r="U46" s="25"/>
      <c r="V46" s="25"/>
      <c r="W46" s="25"/>
      <c r="X46" s="25"/>
      <c r="Y46" s="25"/>
      <c r="Z46" s="26"/>
    </row>
    <row r="47" spans="2:26" x14ac:dyDescent="0.25">
      <c r="C47" s="134" t="s">
        <v>37</v>
      </c>
      <c r="D47" s="117"/>
      <c r="E47" s="5"/>
      <c r="F47" s="5"/>
      <c r="G47" s="5">
        <v>0.57499999999999996</v>
      </c>
      <c r="H47" s="5">
        <v>0.67500000000000004</v>
      </c>
      <c r="I47" s="5">
        <v>0.625</v>
      </c>
      <c r="J47" s="5">
        <v>0.625</v>
      </c>
      <c r="K47" s="5">
        <v>0.5</v>
      </c>
      <c r="L47" s="5">
        <v>0.57499999999999996</v>
      </c>
      <c r="M47" s="5"/>
      <c r="N47" s="5"/>
      <c r="O47" s="7">
        <v>0.5</v>
      </c>
      <c r="P47" s="7">
        <v>0.5</v>
      </c>
      <c r="Q47" s="7">
        <v>0.5</v>
      </c>
      <c r="R47" s="7">
        <v>0.5</v>
      </c>
      <c r="S47" s="7">
        <v>0.5</v>
      </c>
      <c r="T47" s="7">
        <v>0.5</v>
      </c>
      <c r="U47" s="67">
        <v>0.5</v>
      </c>
      <c r="V47" s="67">
        <v>0.5</v>
      </c>
      <c r="W47" s="67">
        <v>0.5</v>
      </c>
      <c r="X47" s="67">
        <v>0.5</v>
      </c>
      <c r="Y47" s="67">
        <v>0.5</v>
      </c>
      <c r="Z47" s="67">
        <v>0.5</v>
      </c>
    </row>
    <row r="48" spans="2:26" x14ac:dyDescent="0.25">
      <c r="C48" s="127" t="s">
        <v>36</v>
      </c>
      <c r="D48" s="27" t="s">
        <v>33</v>
      </c>
      <c r="E48" s="28"/>
      <c r="F48" s="3"/>
      <c r="G48" s="3">
        <v>0.73</v>
      </c>
      <c r="H48" s="3">
        <v>0.62</v>
      </c>
      <c r="I48" s="3">
        <v>0.71</v>
      </c>
      <c r="J48" s="3">
        <v>0.53</v>
      </c>
      <c r="K48" s="29">
        <v>0.74</v>
      </c>
      <c r="L48" s="29">
        <v>0.49</v>
      </c>
      <c r="M48" s="28"/>
      <c r="N48" s="28"/>
      <c r="O48" s="91">
        <v>0.8</v>
      </c>
      <c r="P48" s="3">
        <v>0.68</v>
      </c>
      <c r="Q48" s="91">
        <v>0.81</v>
      </c>
      <c r="R48" s="3">
        <v>0.69</v>
      </c>
      <c r="S48" s="91">
        <v>0.8</v>
      </c>
      <c r="T48" s="51">
        <v>0.71</v>
      </c>
      <c r="U48" s="12">
        <v>0.8</v>
      </c>
      <c r="V48" s="3">
        <v>0.72</v>
      </c>
      <c r="W48" s="3">
        <v>0.83</v>
      </c>
      <c r="X48" s="3">
        <v>0.68</v>
      </c>
      <c r="Y48" s="3">
        <v>0.8</v>
      </c>
      <c r="Z48" s="3">
        <v>0.69</v>
      </c>
    </row>
    <row r="49" spans="2:28" x14ac:dyDescent="0.25">
      <c r="C49" s="127"/>
      <c r="D49" s="27" t="s">
        <v>34</v>
      </c>
      <c r="E49" s="28"/>
      <c r="F49" s="3"/>
      <c r="G49" s="3">
        <v>0.52</v>
      </c>
      <c r="H49" s="3">
        <v>0.44</v>
      </c>
      <c r="I49" s="3">
        <v>0.51</v>
      </c>
      <c r="J49" s="3">
        <v>0.38</v>
      </c>
      <c r="K49" s="29">
        <v>0.52</v>
      </c>
      <c r="L49" s="29">
        <v>0.34</v>
      </c>
      <c r="M49" s="28"/>
      <c r="N49" s="28"/>
      <c r="O49" s="91">
        <v>0.56999999999999995</v>
      </c>
      <c r="P49" s="3">
        <v>0.48</v>
      </c>
      <c r="Q49" s="91">
        <v>0.56999999999999995</v>
      </c>
      <c r="R49" s="3">
        <v>0.49</v>
      </c>
      <c r="S49" s="91">
        <v>0.56000000000000005</v>
      </c>
      <c r="T49" s="51">
        <v>0.5</v>
      </c>
      <c r="U49" s="12">
        <v>0.56000000000000005</v>
      </c>
      <c r="V49" s="3">
        <v>0.51</v>
      </c>
      <c r="W49" s="3">
        <v>0.57999999999999996</v>
      </c>
      <c r="X49" s="3">
        <v>0.48</v>
      </c>
      <c r="Y49" s="3">
        <v>0.56999999999999995</v>
      </c>
      <c r="Z49" s="3">
        <v>0.48</v>
      </c>
    </row>
    <row r="50" spans="2:28" x14ac:dyDescent="0.25">
      <c r="C50" s="127" t="s">
        <v>35</v>
      </c>
      <c r="D50" s="27" t="s">
        <v>33</v>
      </c>
      <c r="E50" s="28"/>
      <c r="F50" s="3"/>
      <c r="G50" s="3">
        <v>0.67</v>
      </c>
      <c r="H50" s="3">
        <v>0.56999999999999995</v>
      </c>
      <c r="I50" s="3">
        <v>0.65</v>
      </c>
      <c r="J50" s="3">
        <v>0.48</v>
      </c>
      <c r="K50" s="29">
        <v>0.67</v>
      </c>
      <c r="L50" s="29">
        <v>0.44</v>
      </c>
      <c r="M50" s="28"/>
      <c r="N50" s="28"/>
      <c r="O50" s="91">
        <v>0.73</v>
      </c>
      <c r="P50" s="3">
        <v>0.62</v>
      </c>
      <c r="Q50" s="91">
        <v>0.74</v>
      </c>
      <c r="R50" s="3">
        <v>0.63</v>
      </c>
      <c r="S50" s="91">
        <v>0.72</v>
      </c>
      <c r="T50" s="51">
        <v>0.64</v>
      </c>
      <c r="U50" s="12">
        <v>0.73</v>
      </c>
      <c r="V50" s="3">
        <v>0.65</v>
      </c>
      <c r="W50" s="3">
        <v>0.75</v>
      </c>
      <c r="X50" s="3">
        <v>0.61</v>
      </c>
      <c r="Y50" s="3">
        <v>0.73</v>
      </c>
      <c r="Z50" s="3">
        <v>0.62</v>
      </c>
    </row>
    <row r="51" spans="2:28" x14ac:dyDescent="0.25">
      <c r="C51" s="127"/>
      <c r="D51" s="27" t="s">
        <v>34</v>
      </c>
      <c r="E51" s="28"/>
      <c r="F51" s="3"/>
      <c r="G51" s="3">
        <v>0.37</v>
      </c>
      <c r="H51" s="3">
        <v>0.32</v>
      </c>
      <c r="I51" s="3">
        <v>0.36</v>
      </c>
      <c r="J51" s="3">
        <v>0.27</v>
      </c>
      <c r="K51" s="29">
        <v>0.37</v>
      </c>
      <c r="L51" s="29">
        <v>0.25</v>
      </c>
      <c r="M51" s="28"/>
      <c r="N51" s="28"/>
      <c r="O51" s="91">
        <v>0.41</v>
      </c>
      <c r="P51" s="3">
        <v>0.34</v>
      </c>
      <c r="Q51" s="91">
        <v>0.41</v>
      </c>
      <c r="R51" s="3">
        <v>0.35</v>
      </c>
      <c r="S51" s="91">
        <v>0.4</v>
      </c>
      <c r="T51" s="51">
        <v>0.36</v>
      </c>
      <c r="U51" s="12">
        <v>0.4</v>
      </c>
      <c r="V51" s="3">
        <v>0.36</v>
      </c>
      <c r="W51" s="3">
        <v>0.42</v>
      </c>
      <c r="X51" s="3">
        <v>0.34</v>
      </c>
      <c r="Y51" s="3">
        <v>0.41</v>
      </c>
      <c r="Z51" s="3">
        <v>0.35</v>
      </c>
    </row>
    <row r="52" spans="2:28" x14ac:dyDescent="0.25">
      <c r="C52" s="132" t="s">
        <v>15</v>
      </c>
      <c r="D52" s="133"/>
      <c r="E52" s="22"/>
      <c r="F52" s="19"/>
      <c r="G52" s="19">
        <v>0.83</v>
      </c>
      <c r="H52" s="19">
        <v>0.66</v>
      </c>
      <c r="I52" s="19">
        <v>0.8</v>
      </c>
      <c r="J52" s="20">
        <v>0.64</v>
      </c>
      <c r="K52" s="32">
        <v>0.79</v>
      </c>
      <c r="L52" s="19">
        <v>0.63</v>
      </c>
      <c r="M52" s="19"/>
      <c r="N52" s="20"/>
      <c r="O52" s="90">
        <v>0.92</v>
      </c>
      <c r="P52" s="33">
        <v>0.83</v>
      </c>
      <c r="Q52" s="91">
        <v>0.91</v>
      </c>
      <c r="R52" s="20">
        <v>0.84</v>
      </c>
      <c r="S52" s="90">
        <v>0.92</v>
      </c>
      <c r="T52" s="20">
        <v>0.85</v>
      </c>
      <c r="U52" s="32">
        <v>0.92</v>
      </c>
      <c r="V52" s="20">
        <v>0.84</v>
      </c>
      <c r="W52" s="32">
        <v>0.91</v>
      </c>
      <c r="X52" s="19">
        <v>0.81</v>
      </c>
      <c r="Y52" s="19">
        <v>0.92</v>
      </c>
      <c r="Z52" s="19">
        <v>0.84</v>
      </c>
    </row>
    <row r="53" spans="2:28" x14ac:dyDescent="0.25">
      <c r="C53" s="136" t="s">
        <v>31</v>
      </c>
      <c r="D53" s="136"/>
      <c r="E53" s="28"/>
      <c r="F53" s="3"/>
      <c r="G53" s="3">
        <v>0.11</v>
      </c>
      <c r="H53" s="3">
        <v>0.13</v>
      </c>
      <c r="I53" s="3">
        <v>0.21</v>
      </c>
      <c r="J53" s="3">
        <v>0.21</v>
      </c>
      <c r="K53" s="3">
        <v>0.33</v>
      </c>
      <c r="L53" s="34">
        <v>0.31</v>
      </c>
      <c r="M53" s="42"/>
      <c r="N53" s="42"/>
      <c r="O53" s="91">
        <v>0.15</v>
      </c>
      <c r="P53" s="34">
        <v>0.16</v>
      </c>
      <c r="Q53" s="91">
        <v>0.32</v>
      </c>
      <c r="R53" s="34">
        <v>0.31</v>
      </c>
      <c r="S53" s="91">
        <v>0.47</v>
      </c>
      <c r="T53" s="35">
        <v>0.46</v>
      </c>
      <c r="U53" s="36">
        <v>0.11</v>
      </c>
      <c r="V53" s="3">
        <v>0.11</v>
      </c>
      <c r="W53" s="3">
        <v>0.2</v>
      </c>
      <c r="X53" s="3">
        <v>0.2</v>
      </c>
      <c r="Y53" s="3">
        <v>0.3</v>
      </c>
      <c r="Z53" s="3">
        <v>0.3</v>
      </c>
    </row>
    <row r="54" spans="2:28" x14ac:dyDescent="0.25">
      <c r="C54" s="136" t="s">
        <v>32</v>
      </c>
      <c r="D54" s="136"/>
      <c r="E54" s="28"/>
      <c r="F54" s="3"/>
      <c r="G54" s="3">
        <v>7.3</v>
      </c>
      <c r="H54" s="3">
        <v>8.1999999999999993</v>
      </c>
      <c r="I54" s="3">
        <v>7.8</v>
      </c>
      <c r="J54" s="3">
        <v>7.6</v>
      </c>
      <c r="K54" s="3">
        <v>7.8</v>
      </c>
      <c r="L54" s="34">
        <v>7.6</v>
      </c>
      <c r="M54" s="42"/>
      <c r="N54" s="42"/>
      <c r="O54" s="91">
        <v>7.6</v>
      </c>
      <c r="P54" s="34">
        <v>7.7</v>
      </c>
      <c r="Q54" s="91">
        <v>7.6</v>
      </c>
      <c r="R54" s="34">
        <v>7.4</v>
      </c>
      <c r="S54" s="91">
        <v>7.6</v>
      </c>
      <c r="T54" s="35">
        <v>7.3</v>
      </c>
      <c r="U54" s="36">
        <v>7.4</v>
      </c>
      <c r="V54" s="3">
        <v>7.6</v>
      </c>
      <c r="W54" s="3">
        <v>7.6</v>
      </c>
      <c r="X54" s="3">
        <v>7.5</v>
      </c>
      <c r="Y54" s="3">
        <v>7.5</v>
      </c>
      <c r="Z54" s="3">
        <v>7.6</v>
      </c>
    </row>
    <row r="55" spans="2:28" x14ac:dyDescent="0.25">
      <c r="B55" s="17" t="s">
        <v>12</v>
      </c>
    </row>
    <row r="56" spans="2:28" x14ac:dyDescent="0.25">
      <c r="B56" s="140" t="s">
        <v>47</v>
      </c>
      <c r="C56" s="140"/>
      <c r="D56" s="23" t="s">
        <v>25</v>
      </c>
    </row>
    <row r="57" spans="2:28" x14ac:dyDescent="0.25">
      <c r="B57" s="140" t="s">
        <v>20</v>
      </c>
      <c r="C57" s="140"/>
      <c r="D57" s="23" t="s">
        <v>46</v>
      </c>
      <c r="E57" s="23" t="s">
        <v>72</v>
      </c>
    </row>
    <row r="58" spans="2:28" x14ac:dyDescent="0.25">
      <c r="B58" t="s">
        <v>45</v>
      </c>
      <c r="AB58" t="s">
        <v>54</v>
      </c>
    </row>
    <row r="59" spans="2:28" ht="15" customHeight="1" x14ac:dyDescent="0.25">
      <c r="C59" s="137" t="s">
        <v>43</v>
      </c>
      <c r="D59" s="138"/>
      <c r="E59" s="145" t="s">
        <v>14</v>
      </c>
      <c r="F59" s="146"/>
      <c r="G59" s="146"/>
      <c r="H59" s="147"/>
      <c r="I59" s="123">
        <v>320</v>
      </c>
      <c r="J59" s="124"/>
      <c r="K59" s="123" t="s">
        <v>44</v>
      </c>
      <c r="L59" s="124"/>
      <c r="M59" s="123">
        <v>448</v>
      </c>
      <c r="N59" s="124"/>
      <c r="O59" s="123">
        <v>640</v>
      </c>
      <c r="P59" s="124"/>
      <c r="Q59" s="123"/>
      <c r="R59" s="124"/>
      <c r="S59" s="123"/>
      <c r="T59" s="124"/>
      <c r="U59" s="123"/>
      <c r="V59" s="124"/>
      <c r="W59" s="123"/>
      <c r="X59" s="124"/>
      <c r="Y59" s="123"/>
      <c r="Z59" s="126"/>
    </row>
    <row r="60" spans="2:28" x14ac:dyDescent="0.25">
      <c r="C60" s="150" t="s">
        <v>48</v>
      </c>
      <c r="D60" s="150"/>
      <c r="E60" s="45">
        <v>320</v>
      </c>
      <c r="F60" s="45" t="s">
        <v>44</v>
      </c>
      <c r="G60" s="4">
        <v>448</v>
      </c>
      <c r="H60" s="10">
        <v>640</v>
      </c>
      <c r="I60" s="46">
        <v>3</v>
      </c>
      <c r="J60" s="10">
        <v>16</v>
      </c>
      <c r="K60" s="4">
        <v>3</v>
      </c>
      <c r="L60" s="10">
        <v>16</v>
      </c>
      <c r="M60" s="4">
        <v>3</v>
      </c>
      <c r="N60" s="10">
        <v>16</v>
      </c>
      <c r="O60" s="4">
        <v>3</v>
      </c>
      <c r="P60" s="10">
        <v>16</v>
      </c>
      <c r="Q60" s="4"/>
      <c r="R60" s="10"/>
      <c r="S60" s="4"/>
      <c r="T60" s="10"/>
      <c r="U60" s="4"/>
      <c r="V60" s="10"/>
      <c r="W60" s="4"/>
      <c r="X60" s="10"/>
      <c r="Y60" s="4"/>
      <c r="Z60" s="4"/>
    </row>
    <row r="61" spans="2:28" x14ac:dyDescent="0.25">
      <c r="C61" s="132" t="s">
        <v>11</v>
      </c>
      <c r="D61" s="133"/>
      <c r="E61" s="18">
        <v>256</v>
      </c>
      <c r="F61" s="44">
        <v>256</v>
      </c>
      <c r="G61" s="44">
        <v>256</v>
      </c>
      <c r="H61" s="35">
        <v>256</v>
      </c>
      <c r="I61" s="100">
        <v>256</v>
      </c>
      <c r="J61" s="101">
        <v>256</v>
      </c>
      <c r="K61" s="12">
        <v>256</v>
      </c>
      <c r="L61" s="35"/>
      <c r="M61" s="100">
        <v>256</v>
      </c>
      <c r="N61" s="11"/>
      <c r="O61" s="102">
        <v>256</v>
      </c>
      <c r="P61" s="11"/>
      <c r="Q61" s="3"/>
      <c r="R61" s="11"/>
      <c r="S61" s="12"/>
      <c r="T61" s="34"/>
      <c r="U61" s="3"/>
      <c r="V61" s="11"/>
      <c r="W61" s="12"/>
      <c r="X61" s="34"/>
      <c r="Y61" s="3"/>
      <c r="Z61" s="3"/>
    </row>
    <row r="62" spans="2:28" x14ac:dyDescent="0.25">
      <c r="C62" s="132" t="s">
        <v>2</v>
      </c>
      <c r="D62" s="133"/>
      <c r="E62" s="5">
        <v>19</v>
      </c>
      <c r="F62" s="34">
        <v>38</v>
      </c>
      <c r="G62" s="34">
        <v>31</v>
      </c>
      <c r="H62" s="35">
        <v>41</v>
      </c>
      <c r="I62" s="100">
        <v>29</v>
      </c>
      <c r="J62" s="101">
        <v>21</v>
      </c>
      <c r="K62" s="12">
        <v>40</v>
      </c>
      <c r="L62" s="35"/>
      <c r="M62" s="100">
        <v>34</v>
      </c>
      <c r="N62" s="11"/>
      <c r="O62" s="102">
        <v>48</v>
      </c>
      <c r="P62" s="11"/>
      <c r="Q62" s="3"/>
      <c r="R62" s="11"/>
      <c r="S62" s="12"/>
      <c r="T62" s="34"/>
      <c r="U62" s="3"/>
      <c r="V62" s="11"/>
      <c r="W62" s="12"/>
      <c r="X62" s="34"/>
      <c r="Y62" s="3"/>
      <c r="Z62" s="3"/>
    </row>
    <row r="63" spans="2:28" x14ac:dyDescent="0.25">
      <c r="C63" s="2"/>
      <c r="D63" s="15" t="s">
        <v>9</v>
      </c>
      <c r="E63" s="9">
        <f>E62/E61</f>
        <v>7.421875E-2</v>
      </c>
      <c r="F63" s="38">
        <f t="shared" ref="F63:P63" si="6">F62/F61</f>
        <v>0.1484375</v>
      </c>
      <c r="G63" s="8">
        <f t="shared" si="6"/>
        <v>0.12109375</v>
      </c>
      <c r="H63" s="13">
        <f t="shared" si="6"/>
        <v>0.16015625</v>
      </c>
      <c r="I63" s="103">
        <f t="shared" si="6"/>
        <v>0.11328125</v>
      </c>
      <c r="J63" s="104">
        <f t="shared" si="6"/>
        <v>8.203125E-2</v>
      </c>
      <c r="K63" s="38">
        <f t="shared" si="6"/>
        <v>0.15625</v>
      </c>
      <c r="L63" s="39" t="e">
        <f t="shared" si="6"/>
        <v>#DIV/0!</v>
      </c>
      <c r="M63" s="103">
        <f t="shared" si="6"/>
        <v>0.1328125</v>
      </c>
      <c r="N63" s="13" t="e">
        <f t="shared" si="6"/>
        <v>#DIV/0!</v>
      </c>
      <c r="O63" s="105">
        <f t="shared" si="6"/>
        <v>0.1875</v>
      </c>
      <c r="P63" s="13" t="e">
        <f t="shared" si="6"/>
        <v>#DIV/0!</v>
      </c>
      <c r="Q63" s="8" t="e">
        <f t="shared" ref="Q63:Z63" si="7">Q62/Q61</f>
        <v>#DIV/0!</v>
      </c>
      <c r="R63" s="13" t="e">
        <f t="shared" si="7"/>
        <v>#DIV/0!</v>
      </c>
      <c r="S63" s="14"/>
      <c r="T63" s="38" t="e">
        <f t="shared" si="7"/>
        <v>#DIV/0!</v>
      </c>
      <c r="U63" s="8" t="e">
        <f t="shared" si="7"/>
        <v>#DIV/0!</v>
      </c>
      <c r="V63" s="13" t="e">
        <f t="shared" si="7"/>
        <v>#DIV/0!</v>
      </c>
      <c r="W63" s="14"/>
      <c r="X63" s="38" t="e">
        <f t="shared" si="7"/>
        <v>#DIV/0!</v>
      </c>
      <c r="Y63" s="8" t="e">
        <f t="shared" si="7"/>
        <v>#DIV/0!</v>
      </c>
      <c r="Z63" s="8" t="e">
        <f t="shared" si="7"/>
        <v>#DIV/0!</v>
      </c>
    </row>
    <row r="64" spans="2:28" x14ac:dyDescent="0.25">
      <c r="C64" s="132" t="s">
        <v>3</v>
      </c>
      <c r="D64" s="133"/>
      <c r="E64" s="5">
        <v>32</v>
      </c>
      <c r="F64" s="34">
        <v>14</v>
      </c>
      <c r="G64" s="3">
        <v>23</v>
      </c>
      <c r="H64" s="11">
        <v>32</v>
      </c>
      <c r="I64" s="100">
        <v>32</v>
      </c>
      <c r="J64" s="101">
        <v>29</v>
      </c>
      <c r="K64" s="34">
        <v>15</v>
      </c>
      <c r="L64" s="35"/>
      <c r="M64" s="100">
        <v>22</v>
      </c>
      <c r="N64" s="11"/>
      <c r="O64" s="102">
        <v>28</v>
      </c>
      <c r="P64" s="11"/>
      <c r="Q64" s="3"/>
      <c r="R64" s="11"/>
      <c r="S64" s="12"/>
      <c r="T64" s="34"/>
      <c r="U64" s="3"/>
      <c r="V64" s="11"/>
      <c r="W64" s="12"/>
      <c r="X64" s="34"/>
      <c r="Y64" s="3"/>
      <c r="Z64" s="3"/>
    </row>
    <row r="65" spans="3:26" x14ac:dyDescent="0.25">
      <c r="C65" s="1"/>
      <c r="D65" s="15" t="s">
        <v>10</v>
      </c>
      <c r="E65" s="9">
        <f>E64/E61</f>
        <v>0.125</v>
      </c>
      <c r="F65" s="38">
        <f t="shared" ref="F65:P65" si="8">F64/F61</f>
        <v>5.46875E-2</v>
      </c>
      <c r="G65" s="8">
        <f t="shared" si="8"/>
        <v>8.984375E-2</v>
      </c>
      <c r="H65" s="13">
        <f t="shared" si="8"/>
        <v>0.125</v>
      </c>
      <c r="I65" s="103">
        <f t="shared" si="8"/>
        <v>0.125</v>
      </c>
      <c r="J65" s="104">
        <f t="shared" si="8"/>
        <v>0.11328125</v>
      </c>
      <c r="K65" s="38">
        <f t="shared" si="8"/>
        <v>5.859375E-2</v>
      </c>
      <c r="L65" s="39" t="e">
        <f t="shared" si="8"/>
        <v>#DIV/0!</v>
      </c>
      <c r="M65" s="103">
        <f t="shared" si="8"/>
        <v>8.59375E-2</v>
      </c>
      <c r="N65" s="13" t="e">
        <f t="shared" si="8"/>
        <v>#DIV/0!</v>
      </c>
      <c r="O65" s="105">
        <f t="shared" si="8"/>
        <v>0.109375</v>
      </c>
      <c r="P65" s="13" t="e">
        <f t="shared" si="8"/>
        <v>#DIV/0!</v>
      </c>
      <c r="Q65" s="8" t="e">
        <f t="shared" ref="Q65:Z65" si="9">Q64/Q61</f>
        <v>#DIV/0!</v>
      </c>
      <c r="R65" s="13" t="e">
        <f t="shared" si="9"/>
        <v>#DIV/0!</v>
      </c>
      <c r="S65" s="14"/>
      <c r="T65" s="38" t="e">
        <f t="shared" si="9"/>
        <v>#DIV/0!</v>
      </c>
      <c r="U65" s="8" t="e">
        <f t="shared" si="9"/>
        <v>#DIV/0!</v>
      </c>
      <c r="V65" s="13" t="e">
        <f t="shared" si="9"/>
        <v>#DIV/0!</v>
      </c>
      <c r="W65" s="14"/>
      <c r="X65" s="38" t="e">
        <f t="shared" si="9"/>
        <v>#DIV/0!</v>
      </c>
      <c r="Y65" s="8" t="e">
        <f t="shared" si="9"/>
        <v>#DIV/0!</v>
      </c>
      <c r="Z65" s="8" t="e">
        <f t="shared" si="9"/>
        <v>#DIV/0!</v>
      </c>
    </row>
    <row r="66" spans="3:26" x14ac:dyDescent="0.25">
      <c r="C66" s="13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35"/>
    </row>
    <row r="67" spans="3:26" x14ac:dyDescent="0.25">
      <c r="C67" s="132" t="s">
        <v>4</v>
      </c>
      <c r="D67" s="133"/>
      <c r="E67" s="5">
        <v>0.82</v>
      </c>
      <c r="F67" s="34">
        <v>0.81</v>
      </c>
      <c r="G67" s="34">
        <v>0.81</v>
      </c>
      <c r="H67" s="35">
        <v>0.75</v>
      </c>
      <c r="I67" s="100">
        <v>0.68</v>
      </c>
      <c r="J67" s="100">
        <v>0.78</v>
      </c>
      <c r="K67" s="12">
        <v>0.68</v>
      </c>
      <c r="L67" s="35"/>
      <c r="M67" s="100">
        <v>0.71</v>
      </c>
      <c r="N67" s="11"/>
      <c r="O67" s="100">
        <v>0.69</v>
      </c>
      <c r="P67" s="47"/>
      <c r="Q67" s="12"/>
      <c r="R67" s="11"/>
      <c r="S67" s="12"/>
      <c r="T67" s="34"/>
      <c r="U67" s="3"/>
      <c r="V67" s="11"/>
      <c r="W67" s="12"/>
      <c r="X67" s="34"/>
      <c r="Y67" s="3"/>
      <c r="Z67" s="3"/>
    </row>
    <row r="68" spans="3:26" x14ac:dyDescent="0.25">
      <c r="C68" s="134" t="s">
        <v>38</v>
      </c>
      <c r="D68" s="139"/>
      <c r="E68" s="5">
        <v>0.82</v>
      </c>
      <c r="F68" s="34">
        <v>0.81</v>
      </c>
      <c r="G68" s="34">
        <v>0.81</v>
      </c>
      <c r="H68" s="35">
        <v>0.75</v>
      </c>
      <c r="I68" s="100">
        <v>0.79</v>
      </c>
      <c r="J68" s="100">
        <v>0.83</v>
      </c>
      <c r="K68" s="12">
        <v>0.8</v>
      </c>
      <c r="L68" s="35"/>
      <c r="M68" s="100">
        <v>0.8</v>
      </c>
      <c r="N68" s="11"/>
      <c r="O68" s="100">
        <v>0.73</v>
      </c>
      <c r="P68" s="47"/>
      <c r="Q68" s="12"/>
      <c r="R68" s="11"/>
      <c r="S68" s="12"/>
      <c r="T68" s="34"/>
      <c r="U68" s="3"/>
      <c r="V68" s="11"/>
      <c r="W68" s="12"/>
      <c r="X68" s="34"/>
      <c r="Y68" s="3"/>
      <c r="Z68" s="3"/>
    </row>
    <row r="69" spans="3:26" x14ac:dyDescent="0.25">
      <c r="C69" s="132" t="s">
        <v>5</v>
      </c>
      <c r="D69" s="133"/>
      <c r="E69" s="5">
        <v>0.88</v>
      </c>
      <c r="F69" s="34">
        <v>0.94</v>
      </c>
      <c r="G69" s="34">
        <v>0.91</v>
      </c>
      <c r="H69" s="35">
        <v>0.87</v>
      </c>
      <c r="I69" s="100">
        <v>0.75</v>
      </c>
      <c r="J69" s="100">
        <v>0.83</v>
      </c>
      <c r="K69" s="12">
        <v>0.79</v>
      </c>
      <c r="L69" s="35"/>
      <c r="M69" s="100">
        <v>0.81</v>
      </c>
      <c r="N69" s="11"/>
      <c r="O69" s="100">
        <v>0.82</v>
      </c>
      <c r="P69" s="47"/>
      <c r="Q69" s="12"/>
      <c r="R69" s="11"/>
      <c r="S69" s="12"/>
      <c r="T69" s="34"/>
      <c r="U69" s="3"/>
      <c r="V69" s="11"/>
      <c r="W69" s="12"/>
      <c r="X69" s="34"/>
      <c r="Y69" s="3"/>
      <c r="Z69" s="3"/>
    </row>
    <row r="70" spans="3:26" x14ac:dyDescent="0.25">
      <c r="C70" s="132" t="s">
        <v>6</v>
      </c>
      <c r="D70" s="133"/>
      <c r="E70" s="5">
        <v>0.93</v>
      </c>
      <c r="F70" s="34">
        <v>0.85</v>
      </c>
      <c r="G70" s="34">
        <v>0.88</v>
      </c>
      <c r="H70" s="35">
        <v>0.84</v>
      </c>
      <c r="I70" s="100">
        <v>0.76</v>
      </c>
      <c r="J70" s="100">
        <v>0.86</v>
      </c>
      <c r="K70" s="12">
        <v>0.71</v>
      </c>
      <c r="L70" s="35"/>
      <c r="M70" s="100">
        <v>0.77</v>
      </c>
      <c r="N70" s="11"/>
      <c r="O70" s="100">
        <v>0.75</v>
      </c>
      <c r="P70" s="47"/>
      <c r="Q70" s="12"/>
      <c r="R70" s="11"/>
      <c r="S70" s="12"/>
      <c r="T70" s="34"/>
      <c r="U70" s="3"/>
      <c r="V70" s="11"/>
      <c r="W70" s="12"/>
      <c r="X70" s="34"/>
      <c r="Y70" s="3"/>
      <c r="Z70" s="3"/>
    </row>
    <row r="71" spans="3:26" x14ac:dyDescent="0.25">
      <c r="C71" s="132" t="s">
        <v>7</v>
      </c>
      <c r="D71" s="133"/>
      <c r="E71" s="5">
        <v>0.9</v>
      </c>
      <c r="F71" s="34">
        <v>0.89</v>
      </c>
      <c r="G71" s="34">
        <v>0.89</v>
      </c>
      <c r="H71" s="35">
        <v>0.85</v>
      </c>
      <c r="I71" s="100">
        <v>0.76</v>
      </c>
      <c r="J71" s="100">
        <v>0.84</v>
      </c>
      <c r="K71" s="12">
        <v>0.75</v>
      </c>
      <c r="L71" s="35"/>
      <c r="M71" s="100">
        <v>0.79</v>
      </c>
      <c r="N71" s="11"/>
      <c r="O71" s="100">
        <v>0.78</v>
      </c>
      <c r="P71" s="47"/>
      <c r="Q71" s="12"/>
      <c r="R71" s="11"/>
      <c r="S71" s="12"/>
      <c r="T71" s="34"/>
      <c r="U71" s="3"/>
      <c r="V71" s="11"/>
      <c r="W71" s="12"/>
      <c r="X71" s="34"/>
      <c r="Y71" s="3"/>
      <c r="Z71" s="3"/>
    </row>
    <row r="72" spans="3:26" x14ac:dyDescent="0.25">
      <c r="C72" s="134"/>
      <c r="D72" s="117"/>
      <c r="E72" s="25"/>
      <c r="F72" s="25"/>
      <c r="G72" s="25"/>
      <c r="H72" s="25"/>
      <c r="I72" s="25"/>
      <c r="J72" s="25"/>
      <c r="K72" s="25"/>
      <c r="L72" s="25"/>
      <c r="M72" s="21"/>
      <c r="N72" s="25"/>
      <c r="O72" s="25"/>
      <c r="P72" s="31"/>
      <c r="Q72" s="25"/>
      <c r="R72" s="25"/>
      <c r="S72" s="25"/>
      <c r="T72" s="25"/>
      <c r="U72" s="25"/>
      <c r="V72" s="25"/>
      <c r="W72" s="25"/>
      <c r="X72" s="25"/>
      <c r="Y72" s="25"/>
      <c r="Z72" s="26"/>
    </row>
    <row r="73" spans="3:26" x14ac:dyDescent="0.25">
      <c r="C73" s="134" t="s">
        <v>37</v>
      </c>
      <c r="D73" s="117"/>
      <c r="E73" s="5"/>
      <c r="F73" s="5"/>
      <c r="G73" s="5"/>
      <c r="H73" s="48"/>
      <c r="I73" s="49">
        <v>0.52500000000000002</v>
      </c>
      <c r="J73" s="48"/>
      <c r="K73" s="49">
        <v>0.5</v>
      </c>
      <c r="L73" s="48"/>
      <c r="M73" s="49">
        <v>0.52500000000000002</v>
      </c>
      <c r="N73" s="48"/>
      <c r="O73" s="49">
        <v>0.57499999999999996</v>
      </c>
      <c r="P73" s="54"/>
      <c r="Q73" s="49"/>
      <c r="R73" s="5"/>
      <c r="S73" s="5"/>
      <c r="T73" s="5"/>
      <c r="U73" s="5"/>
      <c r="V73" s="5"/>
      <c r="W73" s="5"/>
      <c r="X73" s="5"/>
      <c r="Y73" s="5"/>
      <c r="Z73" s="5"/>
    </row>
    <row r="74" spans="3:26" x14ac:dyDescent="0.25">
      <c r="C74" s="127" t="s">
        <v>36</v>
      </c>
      <c r="D74" s="27" t="s">
        <v>33</v>
      </c>
      <c r="E74" s="28"/>
      <c r="F74" s="3"/>
      <c r="G74" s="3"/>
      <c r="H74" s="11"/>
      <c r="I74" s="12">
        <v>0.75</v>
      </c>
      <c r="J74" s="11"/>
      <c r="K74" s="50">
        <v>0.74</v>
      </c>
      <c r="L74" s="51"/>
      <c r="M74" s="12">
        <v>0.78</v>
      </c>
      <c r="N74" s="52"/>
      <c r="O74" s="12">
        <v>0.78</v>
      </c>
      <c r="P74" s="11"/>
      <c r="Q74" s="12"/>
      <c r="R74" s="3"/>
      <c r="S74" s="29"/>
      <c r="T74" s="29"/>
      <c r="U74" s="28"/>
      <c r="V74" s="28"/>
      <c r="W74" s="28"/>
      <c r="X74" s="28"/>
      <c r="Y74" s="28"/>
      <c r="Z74" s="28"/>
    </row>
    <row r="75" spans="3:26" x14ac:dyDescent="0.25">
      <c r="C75" s="127"/>
      <c r="D75" s="27" t="s">
        <v>34</v>
      </c>
      <c r="E75" s="28"/>
      <c r="F75" s="3"/>
      <c r="G75" s="3"/>
      <c r="H75" s="11"/>
      <c r="I75" s="12">
        <v>0.53</v>
      </c>
      <c r="J75" s="11"/>
      <c r="K75" s="50">
        <v>0.53</v>
      </c>
      <c r="L75" s="51"/>
      <c r="M75" s="12">
        <v>0.55000000000000004</v>
      </c>
      <c r="N75" s="52"/>
      <c r="O75" s="12">
        <v>0.55000000000000004</v>
      </c>
      <c r="P75" s="11"/>
      <c r="Q75" s="12"/>
      <c r="R75" s="3"/>
      <c r="S75" s="29"/>
      <c r="T75" s="29"/>
      <c r="U75" s="28"/>
      <c r="V75" s="28"/>
      <c r="W75" s="28"/>
      <c r="X75" s="28"/>
      <c r="Y75" s="28"/>
      <c r="Z75" s="28"/>
    </row>
    <row r="76" spans="3:26" x14ac:dyDescent="0.25">
      <c r="C76" s="127" t="s">
        <v>35</v>
      </c>
      <c r="D76" s="27" t="s">
        <v>33</v>
      </c>
      <c r="E76" s="28"/>
      <c r="F76" s="3"/>
      <c r="G76" s="3"/>
      <c r="H76" s="11"/>
      <c r="I76" s="12">
        <v>0.68</v>
      </c>
      <c r="J76" s="11"/>
      <c r="K76" s="50">
        <v>0.68</v>
      </c>
      <c r="L76" s="51"/>
      <c r="M76" s="12">
        <v>0.71</v>
      </c>
      <c r="N76" s="52"/>
      <c r="O76" s="12">
        <v>0.7</v>
      </c>
      <c r="P76" s="11"/>
      <c r="Q76" s="12"/>
      <c r="R76" s="3"/>
      <c r="S76" s="29"/>
      <c r="T76" s="29"/>
      <c r="U76" s="28"/>
      <c r="V76" s="28"/>
      <c r="W76" s="28"/>
      <c r="X76" s="28"/>
      <c r="Y76" s="28"/>
      <c r="Z76" s="28"/>
    </row>
    <row r="77" spans="3:26" x14ac:dyDescent="0.25">
      <c r="C77" s="127"/>
      <c r="D77" s="27" t="s">
        <v>34</v>
      </c>
      <c r="E77" s="28"/>
      <c r="F77" s="3"/>
      <c r="G77" s="3"/>
      <c r="H77" s="11"/>
      <c r="I77" s="12">
        <v>0.38</v>
      </c>
      <c r="J77" s="11"/>
      <c r="K77" s="50">
        <v>0.38</v>
      </c>
      <c r="L77" s="51"/>
      <c r="M77" s="12">
        <v>0.39</v>
      </c>
      <c r="N77" s="52"/>
      <c r="O77" s="12">
        <v>0.39</v>
      </c>
      <c r="P77" s="11"/>
      <c r="Q77" s="12"/>
      <c r="R77" s="3"/>
      <c r="S77" s="29"/>
      <c r="T77" s="29"/>
      <c r="U77" s="28"/>
      <c r="V77" s="28"/>
      <c r="W77" s="28"/>
      <c r="X77" s="28"/>
      <c r="Y77" s="28"/>
      <c r="Z77" s="28"/>
    </row>
    <row r="78" spans="3:26" x14ac:dyDescent="0.25">
      <c r="C78" s="132" t="s">
        <v>15</v>
      </c>
      <c r="D78" s="133"/>
      <c r="E78" s="22"/>
      <c r="F78" s="19"/>
      <c r="G78" s="19"/>
      <c r="H78" s="20"/>
      <c r="I78" s="32">
        <v>0.81</v>
      </c>
      <c r="J78" s="20"/>
      <c r="K78" s="32">
        <v>0.82</v>
      </c>
      <c r="L78" s="20"/>
      <c r="M78" s="32">
        <v>0.84</v>
      </c>
      <c r="N78" s="20"/>
      <c r="O78" s="32">
        <v>0.88</v>
      </c>
      <c r="P78" s="55"/>
      <c r="Q78" s="32"/>
      <c r="R78" s="20"/>
      <c r="S78" s="32"/>
      <c r="T78" s="19"/>
      <c r="U78" s="19"/>
      <c r="V78" s="20"/>
      <c r="W78" s="32"/>
      <c r="X78" s="19"/>
      <c r="Y78" s="19"/>
      <c r="Z78" s="19"/>
    </row>
    <row r="79" spans="3:26" x14ac:dyDescent="0.25">
      <c r="C79" s="136" t="s">
        <v>31</v>
      </c>
      <c r="D79" s="136"/>
      <c r="E79" s="28"/>
      <c r="F79" s="3"/>
      <c r="G79" s="3"/>
      <c r="H79" s="11"/>
      <c r="I79" s="12">
        <v>0.16</v>
      </c>
      <c r="J79" s="11"/>
      <c r="K79" s="12">
        <v>0.13</v>
      </c>
      <c r="L79" s="35"/>
      <c r="M79" s="36">
        <v>0.2</v>
      </c>
      <c r="N79" s="53"/>
      <c r="O79" s="36">
        <v>0.3</v>
      </c>
      <c r="P79" s="35"/>
      <c r="Q79" s="36"/>
      <c r="R79" s="34"/>
      <c r="S79" s="34"/>
      <c r="T79" s="34"/>
      <c r="U79" s="28"/>
      <c r="V79" s="28"/>
      <c r="W79" s="28"/>
      <c r="X79" s="28"/>
      <c r="Y79" s="28"/>
      <c r="Z79" s="28"/>
    </row>
    <row r="80" spans="3:26" x14ac:dyDescent="0.25">
      <c r="C80" s="136" t="s">
        <v>32</v>
      </c>
      <c r="D80" s="136"/>
      <c r="E80" s="28"/>
      <c r="F80" s="3"/>
      <c r="G80" s="3"/>
      <c r="H80" s="11"/>
      <c r="I80" s="12">
        <v>7.5</v>
      </c>
      <c r="J80" s="11"/>
      <c r="K80" s="12">
        <v>7.6</v>
      </c>
      <c r="L80" s="35"/>
      <c r="M80" s="36">
        <v>8</v>
      </c>
      <c r="N80" s="53"/>
      <c r="O80" s="36">
        <v>10.7</v>
      </c>
      <c r="P80" s="35"/>
      <c r="Q80" s="36"/>
      <c r="R80" s="34"/>
      <c r="S80" s="34"/>
      <c r="T80" s="34"/>
      <c r="U80" s="28"/>
      <c r="V80" s="28"/>
      <c r="W80" s="28"/>
      <c r="X80" s="28"/>
      <c r="Y80" s="28"/>
      <c r="Z80" s="28"/>
    </row>
    <row r="83" spans="2:36" x14ac:dyDescent="0.25">
      <c r="B83" s="17" t="s">
        <v>12</v>
      </c>
    </row>
    <row r="84" spans="2:36" x14ac:dyDescent="0.25">
      <c r="B84" s="140" t="s">
        <v>16</v>
      </c>
      <c r="C84" s="140"/>
      <c r="D84" s="23" t="s">
        <v>25</v>
      </c>
    </row>
    <row r="85" spans="2:36" x14ac:dyDescent="0.25">
      <c r="B85" s="140" t="s">
        <v>55</v>
      </c>
      <c r="C85" s="140"/>
      <c r="D85" s="24" t="s">
        <v>49</v>
      </c>
      <c r="F85" s="140" t="s">
        <v>66</v>
      </c>
      <c r="G85" s="140"/>
    </row>
    <row r="86" spans="2:36" ht="15.75" thickBot="1" x14ac:dyDescent="0.3">
      <c r="B86" t="s">
        <v>18</v>
      </c>
      <c r="G86" s="144" t="s">
        <v>71</v>
      </c>
      <c r="H86" s="144"/>
      <c r="O86" s="118" t="s">
        <v>74</v>
      </c>
      <c r="P86" s="118"/>
      <c r="AB86" t="s">
        <v>53</v>
      </c>
      <c r="AJ86" t="s">
        <v>75</v>
      </c>
    </row>
    <row r="87" spans="2:36" x14ac:dyDescent="0.25">
      <c r="C87" s="137" t="s">
        <v>19</v>
      </c>
      <c r="D87" s="138"/>
      <c r="E87" s="119" t="s">
        <v>14</v>
      </c>
      <c r="F87" s="120"/>
      <c r="G87" s="123" t="s">
        <v>20</v>
      </c>
      <c r="H87" s="124"/>
      <c r="I87" s="123" t="s">
        <v>21</v>
      </c>
      <c r="J87" s="124"/>
      <c r="K87" s="123" t="s">
        <v>22</v>
      </c>
      <c r="L87" s="124"/>
      <c r="M87" s="123" t="s">
        <v>23</v>
      </c>
      <c r="N87" s="124"/>
      <c r="O87" s="130" t="s">
        <v>76</v>
      </c>
      <c r="P87" s="131"/>
      <c r="Q87" s="123" t="s">
        <v>21</v>
      </c>
      <c r="R87" s="124"/>
      <c r="S87" s="123"/>
      <c r="T87" s="124"/>
      <c r="U87" s="123"/>
      <c r="V87" s="124"/>
      <c r="W87" s="123"/>
      <c r="X87" s="124"/>
      <c r="Y87" s="123"/>
      <c r="Z87" s="126"/>
    </row>
    <row r="88" spans="2:36" ht="15.75" thickBot="1" x14ac:dyDescent="0.3">
      <c r="C88" s="137" t="s">
        <v>8</v>
      </c>
      <c r="D88" s="138"/>
      <c r="E88" s="121"/>
      <c r="F88" s="122"/>
      <c r="G88" s="16" t="s">
        <v>0</v>
      </c>
      <c r="H88" s="10" t="s">
        <v>1</v>
      </c>
      <c r="I88" s="4" t="s">
        <v>0</v>
      </c>
      <c r="J88" s="10" t="s">
        <v>1</v>
      </c>
      <c r="K88" s="4" t="s">
        <v>0</v>
      </c>
      <c r="L88" s="10" t="s">
        <v>1</v>
      </c>
      <c r="M88" s="4" t="s">
        <v>0</v>
      </c>
      <c r="N88" s="10" t="s">
        <v>1</v>
      </c>
      <c r="O88" s="4" t="s">
        <v>0</v>
      </c>
      <c r="P88" s="10" t="s">
        <v>1</v>
      </c>
      <c r="Q88" s="4" t="s">
        <v>0</v>
      </c>
      <c r="R88" s="10" t="s">
        <v>1</v>
      </c>
      <c r="S88" s="4" t="s">
        <v>0</v>
      </c>
      <c r="T88" s="10" t="s">
        <v>1</v>
      </c>
      <c r="U88" s="4" t="s">
        <v>0</v>
      </c>
      <c r="V88" s="10" t="s">
        <v>1</v>
      </c>
      <c r="W88" s="4" t="s">
        <v>0</v>
      </c>
      <c r="X88" s="10" t="s">
        <v>1</v>
      </c>
      <c r="Y88" s="4" t="s">
        <v>0</v>
      </c>
      <c r="Z88" s="4" t="s">
        <v>1</v>
      </c>
    </row>
    <row r="89" spans="2:36" x14ac:dyDescent="0.25">
      <c r="C89" s="132" t="s">
        <v>11</v>
      </c>
      <c r="D89" s="133"/>
      <c r="E89" s="5">
        <v>256</v>
      </c>
      <c r="F89" s="34"/>
      <c r="G89" s="90">
        <v>256</v>
      </c>
      <c r="H89" s="34">
        <v>256</v>
      </c>
      <c r="I89" s="12">
        <v>256</v>
      </c>
      <c r="J89" s="34">
        <v>256</v>
      </c>
      <c r="K89" s="90">
        <v>256</v>
      </c>
      <c r="L89" s="34">
        <v>256</v>
      </c>
      <c r="M89" s="91">
        <v>256</v>
      </c>
      <c r="N89" s="11">
        <v>256</v>
      </c>
      <c r="O89" s="90">
        <v>256</v>
      </c>
      <c r="P89" s="37">
        <v>256</v>
      </c>
      <c r="Q89" s="91">
        <v>256</v>
      </c>
      <c r="R89" s="11">
        <v>256</v>
      </c>
      <c r="S89" s="12"/>
      <c r="T89" s="34"/>
      <c r="U89" s="3"/>
      <c r="V89" s="11"/>
      <c r="W89" s="12"/>
      <c r="X89" s="34"/>
      <c r="Y89" s="3"/>
      <c r="Z89" s="3"/>
    </row>
    <row r="90" spans="2:36" x14ac:dyDescent="0.25">
      <c r="C90" s="132" t="s">
        <v>2</v>
      </c>
      <c r="D90" s="133"/>
      <c r="E90" s="5">
        <v>19</v>
      </c>
      <c r="F90" s="34"/>
      <c r="G90" s="90">
        <v>21</v>
      </c>
      <c r="H90" s="37">
        <v>35</v>
      </c>
      <c r="I90" s="12">
        <v>26</v>
      </c>
      <c r="J90" s="37">
        <v>39</v>
      </c>
      <c r="K90" s="90">
        <v>22</v>
      </c>
      <c r="L90" s="34">
        <v>79</v>
      </c>
      <c r="M90" s="91">
        <v>22</v>
      </c>
      <c r="N90" s="11">
        <v>105</v>
      </c>
      <c r="O90" s="90">
        <v>21</v>
      </c>
      <c r="P90" s="37">
        <v>49</v>
      </c>
      <c r="Q90" s="91">
        <v>21</v>
      </c>
      <c r="R90" s="11">
        <v>24</v>
      </c>
      <c r="S90" s="12"/>
      <c r="T90" s="34"/>
      <c r="U90" s="3"/>
      <c r="V90" s="11"/>
      <c r="W90" s="12"/>
      <c r="X90" s="34"/>
      <c r="Y90" s="3"/>
      <c r="Z90" s="3"/>
    </row>
    <row r="91" spans="2:36" x14ac:dyDescent="0.25">
      <c r="C91" s="2"/>
      <c r="D91" s="15" t="s">
        <v>9</v>
      </c>
      <c r="E91" s="9">
        <f t="shared" ref="E91" si="10">E90/E89</f>
        <v>7.421875E-2</v>
      </c>
      <c r="F91" s="38"/>
      <c r="G91" s="106">
        <f t="shared" ref="G91:H91" si="11">G90/G89</f>
        <v>8.203125E-2</v>
      </c>
      <c r="H91" s="41">
        <f t="shared" si="11"/>
        <v>0.13671875</v>
      </c>
      <c r="I91" s="107">
        <f>I90/I89</f>
        <v>0.1015625</v>
      </c>
      <c r="J91" s="41">
        <f t="shared" ref="J91" si="12">J90/J89</f>
        <v>0.15234375</v>
      </c>
      <c r="K91" s="94">
        <f>K90/K89</f>
        <v>8.59375E-2</v>
      </c>
      <c r="L91" s="38">
        <f t="shared" ref="L91:R91" si="13">L90/L89</f>
        <v>0.30859375</v>
      </c>
      <c r="M91" s="96">
        <f t="shared" si="13"/>
        <v>8.59375E-2</v>
      </c>
      <c r="N91" s="13">
        <f t="shared" si="13"/>
        <v>0.41015625</v>
      </c>
      <c r="O91" s="94">
        <f>O90/O89</f>
        <v>8.203125E-2</v>
      </c>
      <c r="P91" s="41">
        <f t="shared" si="13"/>
        <v>0.19140625</v>
      </c>
      <c r="Q91" s="96">
        <f t="shared" si="13"/>
        <v>8.203125E-2</v>
      </c>
      <c r="R91" s="13">
        <f t="shared" si="13"/>
        <v>9.375E-2</v>
      </c>
      <c r="S91" s="14" t="e">
        <f>S90/S89</f>
        <v>#DIV/0!</v>
      </c>
      <c r="T91" s="38" t="e">
        <f t="shared" ref="T91:V91" si="14">T90/T89</f>
        <v>#DIV/0!</v>
      </c>
      <c r="U91" s="8" t="e">
        <f t="shared" si="14"/>
        <v>#DIV/0!</v>
      </c>
      <c r="V91" s="13" t="e">
        <f t="shared" si="14"/>
        <v>#DIV/0!</v>
      </c>
      <c r="W91" s="14"/>
      <c r="X91" s="38"/>
      <c r="Y91" s="8"/>
      <c r="Z91" s="8"/>
    </row>
    <row r="92" spans="2:36" x14ac:dyDescent="0.25">
      <c r="C92" s="132" t="s">
        <v>3</v>
      </c>
      <c r="D92" s="133"/>
      <c r="E92" s="5">
        <v>32</v>
      </c>
      <c r="F92" s="34"/>
      <c r="G92" s="90">
        <v>29</v>
      </c>
      <c r="H92" s="37">
        <v>28</v>
      </c>
      <c r="I92" s="12">
        <v>31</v>
      </c>
      <c r="J92" s="37">
        <v>24</v>
      </c>
      <c r="K92" s="90">
        <v>36</v>
      </c>
      <c r="L92" s="34">
        <v>25</v>
      </c>
      <c r="M92" s="91">
        <v>36</v>
      </c>
      <c r="N92" s="11">
        <v>15</v>
      </c>
      <c r="O92" s="90">
        <v>35</v>
      </c>
      <c r="P92" s="37">
        <v>22</v>
      </c>
      <c r="Q92" s="91">
        <v>35</v>
      </c>
      <c r="R92" s="11">
        <v>29</v>
      </c>
      <c r="S92" s="12"/>
      <c r="T92" s="34"/>
      <c r="U92" s="3"/>
      <c r="V92" s="11"/>
      <c r="W92" s="12"/>
      <c r="X92" s="34"/>
      <c r="Y92" s="3"/>
      <c r="Z92" s="3"/>
    </row>
    <row r="93" spans="2:36" x14ac:dyDescent="0.25">
      <c r="C93" s="1"/>
      <c r="D93" s="15" t="s">
        <v>10</v>
      </c>
      <c r="E93" s="9">
        <f t="shared" ref="E93" si="15">E92/E89</f>
        <v>0.125</v>
      </c>
      <c r="F93" s="38"/>
      <c r="G93" s="106">
        <f t="shared" ref="G93:H93" si="16">G92/G89</f>
        <v>0.11328125</v>
      </c>
      <c r="H93" s="57">
        <f t="shared" si="16"/>
        <v>0.109375</v>
      </c>
      <c r="I93" s="107">
        <f>I92/I89</f>
        <v>0.12109375</v>
      </c>
      <c r="J93" s="38">
        <f t="shared" ref="J93" si="17">J92/J89</f>
        <v>9.375E-2</v>
      </c>
      <c r="K93" s="94">
        <f>K92/K89</f>
        <v>0.140625</v>
      </c>
      <c r="L93" s="38">
        <f t="shared" ref="L93:R93" si="18">L92/L89</f>
        <v>9.765625E-2</v>
      </c>
      <c r="M93" s="96">
        <f t="shared" si="18"/>
        <v>0.140625</v>
      </c>
      <c r="N93" s="13">
        <f t="shared" si="18"/>
        <v>5.859375E-2</v>
      </c>
      <c r="O93" s="94">
        <f>O92/O89</f>
        <v>0.13671875</v>
      </c>
      <c r="P93" s="41">
        <f t="shared" si="18"/>
        <v>8.59375E-2</v>
      </c>
      <c r="Q93" s="96">
        <f t="shared" si="18"/>
        <v>0.13671875</v>
      </c>
      <c r="R93" s="13">
        <f t="shared" si="18"/>
        <v>0.11328125</v>
      </c>
      <c r="S93" s="14" t="e">
        <f>S92/S89</f>
        <v>#DIV/0!</v>
      </c>
      <c r="T93" s="38" t="e">
        <f t="shared" ref="T93:V93" si="19">T92/T89</f>
        <v>#DIV/0!</v>
      </c>
      <c r="U93" s="8" t="e">
        <f t="shared" si="19"/>
        <v>#DIV/0!</v>
      </c>
      <c r="V93" s="13" t="e">
        <f t="shared" si="19"/>
        <v>#DIV/0!</v>
      </c>
      <c r="W93" s="14"/>
      <c r="X93" s="38"/>
      <c r="Y93" s="8"/>
      <c r="Z93" s="8"/>
    </row>
    <row r="94" spans="2:36" x14ac:dyDescent="0.25">
      <c r="C94" s="13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35"/>
    </row>
    <row r="95" spans="2:36" x14ac:dyDescent="0.25">
      <c r="C95" s="132" t="s">
        <v>4</v>
      </c>
      <c r="D95" s="133"/>
      <c r="E95" s="5">
        <v>0.82</v>
      </c>
      <c r="F95" s="34"/>
      <c r="G95" s="90">
        <v>0.78</v>
      </c>
      <c r="H95" s="37">
        <v>0.65</v>
      </c>
      <c r="I95" s="12">
        <v>0.76</v>
      </c>
      <c r="J95" s="37">
        <v>0.65</v>
      </c>
      <c r="K95" s="90">
        <v>0.68</v>
      </c>
      <c r="L95" s="34">
        <v>0.46</v>
      </c>
      <c r="M95" s="91">
        <v>0.61</v>
      </c>
      <c r="N95" s="11">
        <v>0.46</v>
      </c>
      <c r="O95" s="90">
        <v>0.7</v>
      </c>
      <c r="P95" s="37">
        <v>0.57999999999999996</v>
      </c>
      <c r="Q95" s="91">
        <v>0.73</v>
      </c>
      <c r="R95" s="11">
        <v>0.67</v>
      </c>
      <c r="S95" s="12"/>
      <c r="T95" s="34"/>
      <c r="U95" s="3"/>
      <c r="V95" s="11"/>
      <c r="W95" s="12"/>
      <c r="X95" s="34"/>
      <c r="Y95" s="3"/>
      <c r="Z95" s="3"/>
    </row>
    <row r="96" spans="2:36" x14ac:dyDescent="0.25">
      <c r="C96" s="134" t="s">
        <v>38</v>
      </c>
      <c r="D96" s="139"/>
      <c r="E96" s="5">
        <v>0.82</v>
      </c>
      <c r="F96" s="34"/>
      <c r="G96" s="90">
        <v>0.83</v>
      </c>
      <c r="H96" s="37">
        <v>0.78</v>
      </c>
      <c r="I96" s="12">
        <v>0.8</v>
      </c>
      <c r="J96" s="37">
        <v>0.78</v>
      </c>
      <c r="K96" s="90">
        <v>0.8</v>
      </c>
      <c r="L96" s="35">
        <v>0.63</v>
      </c>
      <c r="M96" s="90">
        <v>0.8</v>
      </c>
      <c r="N96" s="11">
        <v>0.56000000000000005</v>
      </c>
      <c r="O96" s="90">
        <v>0.81</v>
      </c>
      <c r="P96" s="69">
        <v>0.75</v>
      </c>
      <c r="Q96" s="90">
        <v>0.81</v>
      </c>
      <c r="R96" s="11">
        <v>0.81</v>
      </c>
      <c r="S96" s="12"/>
      <c r="T96" s="34"/>
      <c r="U96" s="3"/>
      <c r="V96" s="11"/>
      <c r="W96" s="12"/>
      <c r="X96" s="34"/>
      <c r="Y96" s="3"/>
      <c r="Z96" s="3"/>
    </row>
    <row r="97" spans="2:26" x14ac:dyDescent="0.25">
      <c r="C97" s="132" t="s">
        <v>5</v>
      </c>
      <c r="D97" s="133"/>
      <c r="E97" s="5">
        <v>0.88</v>
      </c>
      <c r="F97" s="34"/>
      <c r="G97" s="90">
        <v>0.83</v>
      </c>
      <c r="H97" s="37">
        <v>0.72</v>
      </c>
      <c r="I97" s="12">
        <v>0.83</v>
      </c>
      <c r="J97" s="37">
        <v>0.74</v>
      </c>
      <c r="K97" s="90">
        <v>0.73</v>
      </c>
      <c r="L97" s="34">
        <v>0.5</v>
      </c>
      <c r="M97" s="91">
        <v>0.66</v>
      </c>
      <c r="N97" s="11">
        <v>0.6</v>
      </c>
      <c r="O97" s="90">
        <v>0.76</v>
      </c>
      <c r="P97" s="37">
        <v>0.7</v>
      </c>
      <c r="Q97" s="91">
        <v>0.79</v>
      </c>
      <c r="R97" s="11">
        <v>0.72</v>
      </c>
      <c r="S97" s="12"/>
      <c r="T97" s="34"/>
      <c r="U97" s="3"/>
      <c r="V97" s="11"/>
      <c r="W97" s="12"/>
      <c r="X97" s="34"/>
      <c r="Y97" s="3"/>
      <c r="Z97" s="3"/>
    </row>
    <row r="98" spans="2:26" x14ac:dyDescent="0.25">
      <c r="C98" s="132" t="s">
        <v>6</v>
      </c>
      <c r="D98" s="133"/>
      <c r="E98" s="5">
        <v>0.93</v>
      </c>
      <c r="F98" s="34"/>
      <c r="G98" s="90">
        <v>0.86</v>
      </c>
      <c r="H98" s="37">
        <v>0.69</v>
      </c>
      <c r="I98" s="12">
        <v>0.84</v>
      </c>
      <c r="J98" s="37">
        <v>0.68</v>
      </c>
      <c r="K98" s="90">
        <v>0.76</v>
      </c>
      <c r="L98" s="34">
        <v>0.45</v>
      </c>
      <c r="M98" s="91">
        <v>0.69</v>
      </c>
      <c r="N98" s="11">
        <v>0.41</v>
      </c>
      <c r="O98" s="90">
        <v>0.8</v>
      </c>
      <c r="P98" s="37">
        <v>0.6</v>
      </c>
      <c r="Q98" s="91">
        <v>0.83</v>
      </c>
      <c r="R98" s="11">
        <v>0.72</v>
      </c>
      <c r="S98" s="12"/>
      <c r="T98" s="34"/>
      <c r="U98" s="3"/>
      <c r="V98" s="11"/>
      <c r="W98" s="12"/>
      <c r="X98" s="34"/>
      <c r="Y98" s="3"/>
      <c r="Z98" s="3"/>
    </row>
    <row r="99" spans="2:26" x14ac:dyDescent="0.25">
      <c r="C99" s="132" t="s">
        <v>7</v>
      </c>
      <c r="D99" s="133"/>
      <c r="E99" s="5">
        <v>0.9</v>
      </c>
      <c r="F99" s="34"/>
      <c r="G99" s="90">
        <v>0.84</v>
      </c>
      <c r="H99" s="37">
        <v>0.7</v>
      </c>
      <c r="I99" s="12">
        <v>0.84</v>
      </c>
      <c r="J99" s="37">
        <v>0.68</v>
      </c>
      <c r="K99" s="90">
        <v>0.74</v>
      </c>
      <c r="L99" s="34">
        <v>0.43</v>
      </c>
      <c r="M99" s="91">
        <v>0.68</v>
      </c>
      <c r="N99" s="11">
        <v>0.43</v>
      </c>
      <c r="O99" s="90">
        <v>0.78</v>
      </c>
      <c r="P99" s="37">
        <v>0.61</v>
      </c>
      <c r="Q99" s="91">
        <v>0.81</v>
      </c>
      <c r="R99" s="11">
        <v>0.71</v>
      </c>
      <c r="S99" s="12"/>
      <c r="T99" s="34"/>
      <c r="U99" s="3"/>
      <c r="V99" s="11"/>
      <c r="W99" s="12"/>
      <c r="X99" s="34"/>
      <c r="Y99" s="3"/>
      <c r="Z99" s="3"/>
    </row>
    <row r="100" spans="2:26" x14ac:dyDescent="0.25">
      <c r="C100" s="13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35"/>
    </row>
    <row r="101" spans="2:26" x14ac:dyDescent="0.25">
      <c r="C101" s="134" t="s">
        <v>37</v>
      </c>
      <c r="D101" s="117"/>
      <c r="E101" s="5"/>
      <c r="F101" s="5"/>
      <c r="G101" s="5">
        <v>0.52500000000000002</v>
      </c>
      <c r="H101" s="30">
        <v>0.55000000000000004</v>
      </c>
      <c r="I101" s="30">
        <v>0.625</v>
      </c>
      <c r="J101" s="30">
        <v>0.57499999999999996</v>
      </c>
      <c r="K101" s="7">
        <v>0.5</v>
      </c>
      <c r="L101" s="7">
        <v>0.5</v>
      </c>
      <c r="M101" s="7">
        <v>0.5</v>
      </c>
      <c r="N101" s="7">
        <v>0.5</v>
      </c>
      <c r="O101" s="7">
        <v>0.5</v>
      </c>
      <c r="P101" s="7">
        <v>0.5</v>
      </c>
      <c r="Q101" s="67">
        <v>0.5</v>
      </c>
      <c r="R101" s="7">
        <v>0.5</v>
      </c>
      <c r="S101" s="5"/>
      <c r="T101" s="5"/>
      <c r="U101" s="5"/>
      <c r="V101" s="5"/>
      <c r="W101" s="5"/>
      <c r="X101" s="5"/>
      <c r="Y101" s="5"/>
      <c r="Z101" s="5"/>
    </row>
    <row r="102" spans="2:26" x14ac:dyDescent="0.25">
      <c r="C102" s="127" t="s">
        <v>36</v>
      </c>
      <c r="D102" s="27" t="s">
        <v>33</v>
      </c>
      <c r="E102" s="28"/>
      <c r="F102" s="3"/>
      <c r="G102" s="3">
        <v>0.83</v>
      </c>
      <c r="H102" s="3">
        <v>0.7</v>
      </c>
      <c r="I102" s="3">
        <v>0.82</v>
      </c>
      <c r="J102" s="3">
        <v>0.7</v>
      </c>
      <c r="K102" s="36">
        <v>0.74</v>
      </c>
      <c r="L102" s="35">
        <v>0.47</v>
      </c>
      <c r="M102" s="12">
        <v>67</v>
      </c>
      <c r="N102" s="11">
        <v>0.5</v>
      </c>
      <c r="O102" s="12">
        <v>0.77</v>
      </c>
      <c r="P102" s="70">
        <v>0.65</v>
      </c>
      <c r="Q102" s="12">
        <v>0.8</v>
      </c>
      <c r="R102" s="3">
        <v>0.72</v>
      </c>
      <c r="S102" s="34"/>
      <c r="T102" s="34"/>
      <c r="U102" s="28"/>
      <c r="V102" s="28"/>
      <c r="W102" s="28"/>
      <c r="X102" s="28"/>
      <c r="Y102" s="28"/>
      <c r="Z102" s="28"/>
    </row>
    <row r="103" spans="2:26" x14ac:dyDescent="0.25">
      <c r="C103" s="127"/>
      <c r="D103" s="27" t="s">
        <v>34</v>
      </c>
      <c r="E103" s="28"/>
      <c r="F103" s="3"/>
      <c r="G103" s="3">
        <v>0.59</v>
      </c>
      <c r="H103" s="3">
        <v>0.5</v>
      </c>
      <c r="I103" s="3">
        <v>0.57999999999999996</v>
      </c>
      <c r="J103" s="3">
        <v>0.5</v>
      </c>
      <c r="K103" s="36">
        <v>0.52</v>
      </c>
      <c r="L103" s="35">
        <v>0.33</v>
      </c>
      <c r="M103" s="12">
        <v>0.47</v>
      </c>
      <c r="N103" s="11">
        <v>0.35</v>
      </c>
      <c r="O103" s="12">
        <v>0.54</v>
      </c>
      <c r="P103" s="70">
        <v>0.46</v>
      </c>
      <c r="Q103" s="12">
        <v>0.56000000000000005</v>
      </c>
      <c r="R103" s="3">
        <v>0.51</v>
      </c>
      <c r="S103" s="34"/>
      <c r="T103" s="34"/>
      <c r="U103" s="28"/>
      <c r="V103" s="28"/>
      <c r="W103" s="28"/>
      <c r="X103" s="28"/>
      <c r="Y103" s="28"/>
      <c r="Z103" s="28"/>
    </row>
    <row r="104" spans="2:26" x14ac:dyDescent="0.25">
      <c r="C104" s="127" t="s">
        <v>35</v>
      </c>
      <c r="D104" s="27" t="s">
        <v>33</v>
      </c>
      <c r="E104" s="28"/>
      <c r="F104" s="3"/>
      <c r="G104" s="3">
        <v>0.76</v>
      </c>
      <c r="H104" s="3">
        <v>0.64</v>
      </c>
      <c r="I104" s="3">
        <v>0.75</v>
      </c>
      <c r="J104" s="3">
        <v>0.64</v>
      </c>
      <c r="K104" s="36">
        <v>0.67</v>
      </c>
      <c r="L104" s="35">
        <v>0.43</v>
      </c>
      <c r="M104" s="12">
        <v>0.6</v>
      </c>
      <c r="N104" s="11">
        <v>0.45</v>
      </c>
      <c r="O104" s="12">
        <v>0.7</v>
      </c>
      <c r="P104" s="70">
        <v>0.59</v>
      </c>
      <c r="Q104" s="12">
        <v>0.73</v>
      </c>
      <c r="R104" s="3">
        <v>0.65</v>
      </c>
      <c r="S104" s="34"/>
      <c r="T104" s="34"/>
      <c r="U104" s="28"/>
      <c r="V104" s="28"/>
      <c r="W104" s="28"/>
      <c r="X104" s="28"/>
      <c r="Y104" s="28"/>
      <c r="Z104" s="28"/>
    </row>
    <row r="105" spans="2:26" x14ac:dyDescent="0.25">
      <c r="C105" s="127"/>
      <c r="D105" s="27" t="s">
        <v>34</v>
      </c>
      <c r="E105" s="28"/>
      <c r="F105" s="3"/>
      <c r="G105" s="3">
        <v>0.42</v>
      </c>
      <c r="H105" s="3">
        <v>0.35</v>
      </c>
      <c r="I105" s="3">
        <v>0.42</v>
      </c>
      <c r="J105" s="3">
        <v>0.35</v>
      </c>
      <c r="K105" s="36">
        <v>0.37</v>
      </c>
      <c r="L105" s="35">
        <v>0.24</v>
      </c>
      <c r="M105" s="12">
        <v>0.34</v>
      </c>
      <c r="N105" s="11">
        <v>0.25</v>
      </c>
      <c r="O105" s="12">
        <v>0.39</v>
      </c>
      <c r="P105" s="70">
        <v>0.33</v>
      </c>
      <c r="Q105" s="12">
        <v>0.4</v>
      </c>
      <c r="R105" s="3">
        <v>0.36</v>
      </c>
      <c r="S105" s="34"/>
      <c r="T105" s="34"/>
      <c r="U105" s="28"/>
      <c r="V105" s="28"/>
      <c r="W105" s="28"/>
      <c r="X105" s="28"/>
      <c r="Y105" s="28"/>
      <c r="Z105" s="28"/>
    </row>
    <row r="106" spans="2:26" x14ac:dyDescent="0.25">
      <c r="C106" s="132" t="s">
        <v>15</v>
      </c>
      <c r="D106" s="133"/>
      <c r="E106" s="22"/>
      <c r="F106" s="19"/>
      <c r="G106" s="32">
        <v>0.92</v>
      </c>
      <c r="H106" s="33">
        <v>0.84</v>
      </c>
      <c r="I106" s="32">
        <v>0.93</v>
      </c>
      <c r="J106" s="33">
        <v>0.84</v>
      </c>
      <c r="K106" s="32">
        <v>0.81</v>
      </c>
      <c r="L106" s="20">
        <v>0.63</v>
      </c>
      <c r="M106" s="32">
        <v>0.74</v>
      </c>
      <c r="N106" s="20">
        <v>0.56999999999999995</v>
      </c>
      <c r="O106" s="32">
        <v>0.85</v>
      </c>
      <c r="P106" s="55">
        <v>0.71</v>
      </c>
      <c r="Q106" s="32">
        <v>0.92</v>
      </c>
      <c r="R106" s="20">
        <v>0.84</v>
      </c>
      <c r="S106" s="32"/>
      <c r="T106" s="19"/>
      <c r="U106" s="19"/>
      <c r="V106" s="20"/>
      <c r="W106" s="32"/>
      <c r="X106" s="19"/>
      <c r="Y106" s="19"/>
      <c r="Z106" s="19"/>
    </row>
    <row r="107" spans="2:26" x14ac:dyDescent="0.25">
      <c r="C107" s="136" t="s">
        <v>31</v>
      </c>
      <c r="D107" s="136"/>
      <c r="E107" s="28"/>
      <c r="F107" s="3"/>
      <c r="G107" s="34">
        <v>0.16</v>
      </c>
      <c r="H107" s="34">
        <v>0.16</v>
      </c>
      <c r="I107" s="34">
        <v>0.11</v>
      </c>
      <c r="J107" s="34">
        <v>0.1</v>
      </c>
      <c r="K107" s="12">
        <v>7.0000000000000007E-2</v>
      </c>
      <c r="L107" s="35">
        <v>7.0000000000000007E-2</v>
      </c>
      <c r="M107" s="36">
        <v>0.12</v>
      </c>
      <c r="N107" s="35">
        <v>0.12</v>
      </c>
      <c r="O107" s="36">
        <v>0.19</v>
      </c>
      <c r="P107" s="69">
        <v>0.2</v>
      </c>
      <c r="Q107" s="36">
        <v>0.11</v>
      </c>
      <c r="R107" s="34">
        <v>0.11</v>
      </c>
      <c r="S107" s="34"/>
      <c r="T107" s="34"/>
      <c r="U107" s="28"/>
      <c r="V107" s="28"/>
      <c r="W107" s="28"/>
      <c r="X107" s="28"/>
      <c r="Y107" s="28"/>
      <c r="Z107" s="28"/>
    </row>
    <row r="108" spans="2:26" x14ac:dyDescent="0.25">
      <c r="C108" s="136" t="s">
        <v>32</v>
      </c>
      <c r="D108" s="136"/>
      <c r="E108" s="28"/>
      <c r="F108" s="3"/>
      <c r="G108" s="34">
        <v>8.4</v>
      </c>
      <c r="H108" s="34">
        <v>7.6</v>
      </c>
      <c r="I108" s="34">
        <v>7.8</v>
      </c>
      <c r="J108" s="34">
        <v>7.7</v>
      </c>
      <c r="K108" s="12">
        <v>7.7</v>
      </c>
      <c r="L108" s="35">
        <v>7.5</v>
      </c>
      <c r="M108" s="36">
        <v>7.9</v>
      </c>
      <c r="N108" s="35">
        <v>7.5</v>
      </c>
      <c r="O108" s="36">
        <v>7.8</v>
      </c>
      <c r="P108" s="69">
        <v>7.4</v>
      </c>
      <c r="Q108" s="36">
        <v>7.4</v>
      </c>
      <c r="R108" s="34">
        <v>7.6</v>
      </c>
      <c r="S108" s="34"/>
      <c r="T108" s="34"/>
      <c r="U108" s="28"/>
      <c r="V108" s="28"/>
      <c r="W108" s="28"/>
      <c r="X108" s="28"/>
      <c r="Y108" s="28"/>
      <c r="Z108" s="28"/>
    </row>
    <row r="109" spans="2:26" x14ac:dyDescent="0.25">
      <c r="O109" t="s">
        <v>70</v>
      </c>
      <c r="P109" t="s">
        <v>68</v>
      </c>
    </row>
    <row r="110" spans="2:26" x14ac:dyDescent="0.25">
      <c r="B110" s="17" t="s">
        <v>12</v>
      </c>
      <c r="O110" s="125" t="s">
        <v>67</v>
      </c>
      <c r="P110" s="125"/>
    </row>
    <row r="111" spans="2:26" x14ac:dyDescent="0.25">
      <c r="B111" s="140" t="s">
        <v>16</v>
      </c>
      <c r="C111" s="140"/>
      <c r="D111" s="23" t="s">
        <v>29</v>
      </c>
    </row>
    <row r="112" spans="2:26" x14ac:dyDescent="0.25">
      <c r="B112" s="140" t="s">
        <v>20</v>
      </c>
      <c r="C112" s="140"/>
      <c r="D112" s="24" t="s">
        <v>49</v>
      </c>
    </row>
    <row r="113" spans="2:28" ht="15.75" thickBot="1" x14ac:dyDescent="0.3">
      <c r="B113" t="s">
        <v>24</v>
      </c>
      <c r="H113" s="118" t="s">
        <v>60</v>
      </c>
      <c r="I113" s="118"/>
      <c r="M113" s="118" t="s">
        <v>69</v>
      </c>
      <c r="N113" s="118"/>
      <c r="P113" s="118" t="s">
        <v>59</v>
      </c>
      <c r="Q113" s="118"/>
      <c r="AB113" t="s">
        <v>58</v>
      </c>
    </row>
    <row r="114" spans="2:28" x14ac:dyDescent="0.25">
      <c r="C114" s="137" t="s">
        <v>26</v>
      </c>
      <c r="D114" s="138"/>
      <c r="E114" s="119" t="s">
        <v>14</v>
      </c>
      <c r="F114" s="120"/>
      <c r="G114" s="123" t="s">
        <v>25</v>
      </c>
      <c r="H114" s="124"/>
      <c r="I114" s="128" t="s">
        <v>61</v>
      </c>
      <c r="J114" s="129"/>
      <c r="K114" s="123"/>
      <c r="L114" s="124"/>
      <c r="M114" s="130" t="s">
        <v>25</v>
      </c>
      <c r="N114" s="131"/>
      <c r="O114" s="123" t="s">
        <v>25</v>
      </c>
      <c r="P114" s="124"/>
      <c r="Q114" s="123" t="s">
        <v>56</v>
      </c>
      <c r="R114" s="124"/>
      <c r="S114" s="123"/>
      <c r="T114" s="124"/>
      <c r="U114" s="123"/>
      <c r="V114" s="124"/>
      <c r="W114" s="123"/>
      <c r="X114" s="124"/>
      <c r="Y114" s="123"/>
      <c r="Z114" s="126"/>
    </row>
    <row r="115" spans="2:28" ht="15.75" thickBot="1" x14ac:dyDescent="0.3">
      <c r="C115" s="137" t="s">
        <v>8</v>
      </c>
      <c r="D115" s="138"/>
      <c r="E115" s="121"/>
      <c r="F115" s="122"/>
      <c r="G115" s="16" t="s">
        <v>0</v>
      </c>
      <c r="H115" s="10" t="s">
        <v>1</v>
      </c>
      <c r="I115" s="4" t="s">
        <v>0</v>
      </c>
      <c r="J115" s="10" t="s">
        <v>1</v>
      </c>
      <c r="K115" s="4"/>
      <c r="L115" s="10"/>
      <c r="M115" s="77" t="s">
        <v>0</v>
      </c>
      <c r="N115" s="78" t="s">
        <v>1</v>
      </c>
      <c r="O115" s="80" t="s">
        <v>0</v>
      </c>
      <c r="P115" s="81" t="s">
        <v>1</v>
      </c>
      <c r="Q115" s="4" t="s">
        <v>0</v>
      </c>
      <c r="R115" s="81" t="s">
        <v>1</v>
      </c>
      <c r="S115" s="4" t="s">
        <v>0</v>
      </c>
      <c r="T115" s="10" t="s">
        <v>1</v>
      </c>
      <c r="U115" s="4" t="s">
        <v>0</v>
      </c>
      <c r="V115" s="10" t="s">
        <v>1</v>
      </c>
      <c r="W115" s="4" t="s">
        <v>0</v>
      </c>
      <c r="X115" s="10" t="s">
        <v>1</v>
      </c>
      <c r="Y115" s="4" t="s">
        <v>0</v>
      </c>
      <c r="Z115" s="4" t="s">
        <v>1</v>
      </c>
    </row>
    <row r="116" spans="2:28" x14ac:dyDescent="0.25">
      <c r="C116" s="132" t="s">
        <v>11</v>
      </c>
      <c r="D116" s="133"/>
      <c r="E116" s="5">
        <v>256</v>
      </c>
      <c r="F116" s="34"/>
      <c r="G116" s="43">
        <v>256</v>
      </c>
      <c r="H116" s="43">
        <v>256</v>
      </c>
      <c r="I116" s="60">
        <v>256</v>
      </c>
      <c r="J116" s="61">
        <v>256</v>
      </c>
      <c r="K116" s="12"/>
      <c r="L116" s="34"/>
      <c r="M116" s="90">
        <v>256</v>
      </c>
      <c r="N116" s="29">
        <v>256</v>
      </c>
      <c r="O116" s="86">
        <v>256</v>
      </c>
      <c r="P116" s="108">
        <v>256</v>
      </c>
      <c r="Q116" s="109">
        <v>256</v>
      </c>
      <c r="R116" s="110">
        <v>256</v>
      </c>
      <c r="S116" s="36"/>
      <c r="T116" s="34"/>
      <c r="U116" s="34"/>
      <c r="V116" s="35"/>
      <c r="W116" s="36"/>
      <c r="X116" s="34"/>
      <c r="Y116" s="3"/>
      <c r="Z116" s="3"/>
    </row>
    <row r="117" spans="2:28" x14ac:dyDescent="0.25">
      <c r="C117" s="132" t="s">
        <v>2</v>
      </c>
      <c r="D117" s="133"/>
      <c r="E117" s="5">
        <v>19</v>
      </c>
      <c r="F117" s="34"/>
      <c r="G117" s="43">
        <v>34</v>
      </c>
      <c r="H117" s="43">
        <v>77</v>
      </c>
      <c r="I117" s="60">
        <v>23</v>
      </c>
      <c r="J117" s="61">
        <v>58</v>
      </c>
      <c r="K117" s="12"/>
      <c r="L117" s="34"/>
      <c r="M117" s="90">
        <v>21</v>
      </c>
      <c r="N117" s="111">
        <v>35</v>
      </c>
      <c r="O117" s="86">
        <v>20</v>
      </c>
      <c r="P117" s="108">
        <v>31</v>
      </c>
      <c r="Q117" s="109">
        <v>19</v>
      </c>
      <c r="R117" s="110">
        <v>34</v>
      </c>
      <c r="S117" s="36"/>
      <c r="T117" s="34"/>
      <c r="U117" s="34"/>
      <c r="V117" s="35"/>
      <c r="W117" s="36"/>
      <c r="X117" s="34"/>
      <c r="Y117" s="3"/>
      <c r="Z117" s="3"/>
    </row>
    <row r="118" spans="2:28" x14ac:dyDescent="0.25">
      <c r="C118" s="2"/>
      <c r="D118" s="15" t="s">
        <v>9</v>
      </c>
      <c r="E118" s="9">
        <f t="shared" ref="E118" si="20">E117/E116</f>
        <v>7.421875E-2</v>
      </c>
      <c r="F118" s="38"/>
      <c r="G118" s="58">
        <f>G117/G116</f>
        <v>0.1328125</v>
      </c>
      <c r="H118" s="58">
        <f>H117/H116</f>
        <v>0.30078125</v>
      </c>
      <c r="I118" s="64">
        <f t="shared" ref="I118:J118" si="21">I117/I116</f>
        <v>8.984375E-2</v>
      </c>
      <c r="J118" s="65">
        <f t="shared" si="21"/>
        <v>0.2265625</v>
      </c>
      <c r="K118" s="14"/>
      <c r="L118" s="38"/>
      <c r="M118" s="106">
        <f t="shared" ref="M118:N118" si="22">M117/M116</f>
        <v>8.203125E-2</v>
      </c>
      <c r="N118" s="112">
        <f t="shared" si="22"/>
        <v>0.13671875</v>
      </c>
      <c r="O118" s="87">
        <f>O117/O116</f>
        <v>7.8125E-2</v>
      </c>
      <c r="P118" s="113">
        <f t="shared" ref="P118:R118" si="23">P117/P116</f>
        <v>0.12109375</v>
      </c>
      <c r="Q118" s="114">
        <f t="shared" si="23"/>
        <v>7.421875E-2</v>
      </c>
      <c r="R118" s="115">
        <f t="shared" si="23"/>
        <v>0.1328125</v>
      </c>
      <c r="S118" s="40"/>
      <c r="T118" s="38" t="e">
        <f t="shared" ref="T118:V118" si="24">T117/T116</f>
        <v>#DIV/0!</v>
      </c>
      <c r="U118" s="38" t="e">
        <f t="shared" si="24"/>
        <v>#DIV/0!</v>
      </c>
      <c r="V118" s="39" t="e">
        <f t="shared" si="24"/>
        <v>#DIV/0!</v>
      </c>
      <c r="W118" s="40"/>
      <c r="X118" s="38" t="e">
        <f t="shared" ref="X118:Z118" si="25">X117/X116</f>
        <v>#DIV/0!</v>
      </c>
      <c r="Y118" s="8" t="e">
        <f t="shared" si="25"/>
        <v>#DIV/0!</v>
      </c>
      <c r="Z118" s="8" t="e">
        <f t="shared" si="25"/>
        <v>#DIV/0!</v>
      </c>
    </row>
    <row r="119" spans="2:28" x14ac:dyDescent="0.25">
      <c r="C119" s="132" t="s">
        <v>3</v>
      </c>
      <c r="D119" s="133"/>
      <c r="E119" s="5">
        <v>32</v>
      </c>
      <c r="F119" s="34"/>
      <c r="G119" s="43">
        <v>32</v>
      </c>
      <c r="H119" s="43">
        <v>15</v>
      </c>
      <c r="I119" s="60">
        <v>33</v>
      </c>
      <c r="J119" s="61">
        <v>25</v>
      </c>
      <c r="K119" s="12"/>
      <c r="L119" s="34"/>
      <c r="M119" s="90">
        <v>29</v>
      </c>
      <c r="N119" s="111">
        <v>28</v>
      </c>
      <c r="O119" s="86">
        <v>34</v>
      </c>
      <c r="P119" s="108">
        <v>27</v>
      </c>
      <c r="Q119" s="109">
        <v>33</v>
      </c>
      <c r="R119" s="110">
        <v>24</v>
      </c>
      <c r="S119" s="36"/>
      <c r="T119" s="34"/>
      <c r="U119" s="34"/>
      <c r="V119" s="35"/>
      <c r="W119" s="36"/>
      <c r="X119" s="34"/>
      <c r="Y119" s="3"/>
      <c r="Z119" s="3"/>
    </row>
    <row r="120" spans="2:28" x14ac:dyDescent="0.25">
      <c r="C120" s="1"/>
      <c r="D120" s="15" t="s">
        <v>10</v>
      </c>
      <c r="E120" s="9">
        <f t="shared" ref="E120" si="26">E119/E116</f>
        <v>0.125</v>
      </c>
      <c r="F120" s="38"/>
      <c r="G120" s="58">
        <f>G119/G116</f>
        <v>0.125</v>
      </c>
      <c r="H120" s="58">
        <f>H119/H116</f>
        <v>5.859375E-2</v>
      </c>
      <c r="I120" s="64">
        <f t="shared" ref="I120:J120" si="27">I119/I116</f>
        <v>0.12890625</v>
      </c>
      <c r="J120" s="65">
        <f t="shared" si="27"/>
        <v>9.765625E-2</v>
      </c>
      <c r="K120" s="14"/>
      <c r="L120" s="38"/>
      <c r="M120" s="106">
        <f t="shared" ref="M120:N120" si="28">M119/M116</f>
        <v>0.11328125</v>
      </c>
      <c r="N120" s="116">
        <f t="shared" si="28"/>
        <v>0.109375</v>
      </c>
      <c r="O120" s="87">
        <f>O119/O116</f>
        <v>0.1328125</v>
      </c>
      <c r="P120" s="113">
        <f t="shared" ref="P120:R120" si="29">P119/P116</f>
        <v>0.10546875</v>
      </c>
      <c r="Q120" s="114">
        <f t="shared" si="29"/>
        <v>0.12890625</v>
      </c>
      <c r="R120" s="115">
        <f t="shared" si="29"/>
        <v>9.375E-2</v>
      </c>
      <c r="S120" s="40"/>
      <c r="T120" s="38" t="e">
        <f t="shared" ref="T120:V120" si="30">T119/T116</f>
        <v>#DIV/0!</v>
      </c>
      <c r="U120" s="38" t="e">
        <f t="shared" si="30"/>
        <v>#DIV/0!</v>
      </c>
      <c r="V120" s="39" t="e">
        <f t="shared" si="30"/>
        <v>#DIV/0!</v>
      </c>
      <c r="W120" s="40"/>
      <c r="X120" s="38" t="e">
        <f t="shared" ref="X120:Z120" si="31">X119/X116</f>
        <v>#DIV/0!</v>
      </c>
      <c r="Y120" s="8" t="e">
        <f t="shared" si="31"/>
        <v>#DIV/0!</v>
      </c>
      <c r="Z120" s="8" t="e">
        <f t="shared" si="31"/>
        <v>#DIV/0!</v>
      </c>
    </row>
    <row r="121" spans="2:28" x14ac:dyDescent="0.25">
      <c r="C121" s="13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35"/>
    </row>
    <row r="122" spans="2:28" x14ac:dyDescent="0.25">
      <c r="C122" s="132" t="s">
        <v>4</v>
      </c>
      <c r="D122" s="133"/>
      <c r="E122" s="5">
        <v>0.82</v>
      </c>
      <c r="F122" s="34"/>
      <c r="G122" s="43">
        <v>0.71</v>
      </c>
      <c r="H122" s="43">
        <v>0.56000000000000005</v>
      </c>
      <c r="I122" s="60">
        <v>0.75</v>
      </c>
      <c r="J122" s="61">
        <v>0.61</v>
      </c>
      <c r="K122" s="12"/>
      <c r="L122" s="34"/>
      <c r="M122" s="90">
        <v>0.78</v>
      </c>
      <c r="N122" s="37">
        <v>0.65</v>
      </c>
      <c r="O122" s="86">
        <v>0.74</v>
      </c>
      <c r="P122" s="37">
        <v>0.66</v>
      </c>
      <c r="Q122" s="91">
        <v>0.75</v>
      </c>
      <c r="R122" s="35">
        <v>0.68</v>
      </c>
      <c r="S122" s="36"/>
      <c r="T122" s="34"/>
      <c r="U122" s="34"/>
      <c r="V122" s="35"/>
      <c r="W122" s="36"/>
      <c r="X122" s="34"/>
      <c r="Y122" s="3"/>
      <c r="Z122" s="3"/>
    </row>
    <row r="123" spans="2:28" x14ac:dyDescent="0.25">
      <c r="C123" s="134" t="s">
        <v>38</v>
      </c>
      <c r="D123" s="139"/>
      <c r="E123" s="5">
        <v>0.82</v>
      </c>
      <c r="F123" s="34"/>
      <c r="G123" s="43">
        <v>0.77</v>
      </c>
      <c r="H123" s="47">
        <v>0.66</v>
      </c>
      <c r="I123" s="66">
        <v>0.81</v>
      </c>
      <c r="J123" s="61">
        <v>0.71</v>
      </c>
      <c r="K123" s="12"/>
      <c r="L123" s="35"/>
      <c r="M123" s="90">
        <v>0.83</v>
      </c>
      <c r="N123" s="37">
        <v>0.78</v>
      </c>
      <c r="O123" s="86">
        <v>0.81</v>
      </c>
      <c r="P123" s="69">
        <v>0.8</v>
      </c>
      <c r="Q123" s="90">
        <v>0.82</v>
      </c>
      <c r="R123" s="35">
        <v>0.8</v>
      </c>
      <c r="S123" s="36"/>
      <c r="T123" s="34"/>
      <c r="U123" s="34"/>
      <c r="V123" s="35"/>
      <c r="W123" s="36"/>
      <c r="X123" s="34"/>
      <c r="Y123" s="3"/>
      <c r="Z123" s="3"/>
    </row>
    <row r="124" spans="2:28" x14ac:dyDescent="0.25">
      <c r="C124" s="132" t="s">
        <v>5</v>
      </c>
      <c r="D124" s="133"/>
      <c r="E124" s="5">
        <v>0.88</v>
      </c>
      <c r="F124" s="34"/>
      <c r="G124" s="43">
        <v>0.8</v>
      </c>
      <c r="H124" s="43">
        <v>0.76</v>
      </c>
      <c r="I124" s="60">
        <v>0.81</v>
      </c>
      <c r="J124" s="61">
        <v>0.76</v>
      </c>
      <c r="K124" s="12"/>
      <c r="L124" s="34"/>
      <c r="M124" s="90">
        <v>0.83</v>
      </c>
      <c r="N124" s="37">
        <v>0.72</v>
      </c>
      <c r="O124" s="86">
        <v>0.8</v>
      </c>
      <c r="P124" s="37">
        <v>0.73</v>
      </c>
      <c r="Q124" s="91">
        <v>0.81</v>
      </c>
      <c r="R124" s="35">
        <v>0.75</v>
      </c>
      <c r="S124" s="36"/>
      <c r="T124" s="34"/>
      <c r="U124" s="34"/>
      <c r="V124" s="35"/>
      <c r="W124" s="36"/>
      <c r="X124" s="34"/>
      <c r="Y124" s="3"/>
      <c r="Z124" s="3"/>
    </row>
    <row r="125" spans="2:28" x14ac:dyDescent="0.25">
      <c r="C125" s="132" t="s">
        <v>6</v>
      </c>
      <c r="D125" s="133"/>
      <c r="E125" s="5">
        <v>0.93</v>
      </c>
      <c r="F125" s="34"/>
      <c r="G125" s="43">
        <v>0.78</v>
      </c>
      <c r="H125" s="43">
        <v>0.56000000000000005</v>
      </c>
      <c r="I125" s="60">
        <v>0.84</v>
      </c>
      <c r="J125" s="61">
        <v>0.64</v>
      </c>
      <c r="K125" s="12"/>
      <c r="L125" s="34"/>
      <c r="M125" s="90">
        <v>0.86</v>
      </c>
      <c r="N125" s="37">
        <v>0.69</v>
      </c>
      <c r="O125" s="86">
        <v>0.84</v>
      </c>
      <c r="P125" s="37">
        <v>0.71</v>
      </c>
      <c r="Q125" s="91">
        <v>0.84</v>
      </c>
      <c r="R125" s="35">
        <v>0.72</v>
      </c>
      <c r="S125" s="36"/>
      <c r="T125" s="34"/>
      <c r="U125" s="34"/>
      <c r="V125" s="35"/>
      <c r="W125" s="36"/>
      <c r="X125" s="34"/>
      <c r="Y125" s="3"/>
      <c r="Z125" s="3"/>
    </row>
    <row r="126" spans="2:28" x14ac:dyDescent="0.25">
      <c r="C126" s="132" t="s">
        <v>7</v>
      </c>
      <c r="D126" s="133"/>
      <c r="E126" s="5">
        <v>0.9</v>
      </c>
      <c r="F126" s="34"/>
      <c r="G126" s="43">
        <v>0.79</v>
      </c>
      <c r="H126" s="43">
        <v>0.61</v>
      </c>
      <c r="I126" s="60">
        <v>0.83</v>
      </c>
      <c r="J126" s="61">
        <v>0.67</v>
      </c>
      <c r="K126" s="12"/>
      <c r="L126" s="34"/>
      <c r="M126" s="90">
        <v>0.84</v>
      </c>
      <c r="N126" s="37">
        <v>0.7</v>
      </c>
      <c r="O126" s="86">
        <v>0.81</v>
      </c>
      <c r="P126" s="37">
        <v>0.71</v>
      </c>
      <c r="Q126" s="91">
        <v>0.82</v>
      </c>
      <c r="R126" s="35">
        <v>0.73</v>
      </c>
      <c r="S126" s="36"/>
      <c r="T126" s="34"/>
      <c r="U126" s="34"/>
      <c r="V126" s="35"/>
      <c r="W126" s="36"/>
      <c r="X126" s="34"/>
      <c r="Y126" s="3"/>
      <c r="Z126" s="3"/>
    </row>
    <row r="127" spans="2:28" x14ac:dyDescent="0.25">
      <c r="C127" s="13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35"/>
    </row>
    <row r="128" spans="2:28" x14ac:dyDescent="0.25">
      <c r="C128" s="134" t="s">
        <v>37</v>
      </c>
      <c r="D128" s="117"/>
      <c r="E128" s="5"/>
      <c r="F128" s="5"/>
      <c r="G128" s="7">
        <v>0.625</v>
      </c>
      <c r="H128" s="59">
        <v>0.65</v>
      </c>
      <c r="I128" s="67">
        <v>0.55000000000000004</v>
      </c>
      <c r="J128" s="59">
        <v>0.65</v>
      </c>
      <c r="K128" s="49"/>
      <c r="L128" s="48"/>
      <c r="M128" s="5">
        <v>0.52500000000000002</v>
      </c>
      <c r="N128" s="30">
        <v>0.55000000000000004</v>
      </c>
      <c r="O128" s="67">
        <v>0.5</v>
      </c>
      <c r="P128" s="59">
        <v>0.55000000000000004</v>
      </c>
      <c r="Q128" s="67">
        <v>0.5</v>
      </c>
      <c r="R128" s="7">
        <v>0.55000000000000004</v>
      </c>
      <c r="S128" s="5"/>
      <c r="T128" s="5"/>
      <c r="U128" s="5"/>
      <c r="V128" s="5"/>
      <c r="W128" s="5"/>
      <c r="X128" s="5"/>
      <c r="Y128" s="5"/>
      <c r="Z128" s="5"/>
    </row>
    <row r="129" spans="2:38" x14ac:dyDescent="0.25">
      <c r="C129" s="127" t="s">
        <v>36</v>
      </c>
      <c r="D129" s="27" t="s">
        <v>33</v>
      </c>
      <c r="E129" s="28"/>
      <c r="F129" s="3"/>
      <c r="G129" s="60">
        <v>0.78</v>
      </c>
      <c r="H129" s="61">
        <v>0.65</v>
      </c>
      <c r="I129" s="66">
        <v>0.81</v>
      </c>
      <c r="J129" s="61">
        <v>0.69</v>
      </c>
      <c r="K129" s="50"/>
      <c r="L129" s="51"/>
      <c r="M129" s="3">
        <v>0.83</v>
      </c>
      <c r="N129" s="3">
        <v>0.7</v>
      </c>
      <c r="O129" s="74">
        <v>0.8</v>
      </c>
      <c r="P129" s="70">
        <v>0.71</v>
      </c>
      <c r="Q129" s="12">
        <v>0.81</v>
      </c>
      <c r="R129" s="3">
        <v>0.73</v>
      </c>
      <c r="S129" s="29"/>
      <c r="T129" s="29"/>
      <c r="U129" s="28"/>
      <c r="V129" s="28"/>
      <c r="W129" s="28"/>
      <c r="X129" s="28"/>
      <c r="Y129" s="28"/>
      <c r="Z129" s="28"/>
    </row>
    <row r="130" spans="2:38" x14ac:dyDescent="0.25">
      <c r="C130" s="127"/>
      <c r="D130" s="27" t="s">
        <v>34</v>
      </c>
      <c r="E130" s="28"/>
      <c r="F130" s="3"/>
      <c r="G130" s="60">
        <v>0.55000000000000004</v>
      </c>
      <c r="H130" s="61">
        <v>0.46</v>
      </c>
      <c r="I130" s="66">
        <v>0.57999999999999996</v>
      </c>
      <c r="J130" s="61">
        <v>0.49</v>
      </c>
      <c r="K130" s="50"/>
      <c r="L130" s="51"/>
      <c r="M130" s="3">
        <v>0.59</v>
      </c>
      <c r="N130" s="3">
        <v>0.5</v>
      </c>
      <c r="O130" s="74">
        <v>0.56999999999999995</v>
      </c>
      <c r="P130" s="70">
        <v>0.5</v>
      </c>
      <c r="Q130" s="12">
        <v>0.56999999999999995</v>
      </c>
      <c r="R130" s="3">
        <v>0.51</v>
      </c>
      <c r="S130" s="29"/>
      <c r="T130" s="29"/>
      <c r="U130" s="28"/>
      <c r="V130" s="28"/>
      <c r="W130" s="28"/>
      <c r="X130" s="28"/>
      <c r="Y130" s="28"/>
      <c r="Z130" s="28"/>
    </row>
    <row r="131" spans="2:38" x14ac:dyDescent="0.25">
      <c r="C131" s="127" t="s">
        <v>35</v>
      </c>
      <c r="D131" s="27" t="s">
        <v>33</v>
      </c>
      <c r="E131" s="28"/>
      <c r="F131" s="3"/>
      <c r="G131" s="60">
        <v>0.71</v>
      </c>
      <c r="H131" s="61">
        <v>0.59</v>
      </c>
      <c r="I131" s="66">
        <v>0.74</v>
      </c>
      <c r="J131" s="61">
        <v>0.63</v>
      </c>
      <c r="K131" s="50"/>
      <c r="L131" s="51"/>
      <c r="M131" s="3">
        <v>0.76</v>
      </c>
      <c r="N131" s="3">
        <v>0.64</v>
      </c>
      <c r="O131" s="74">
        <v>0.73</v>
      </c>
      <c r="P131" s="70">
        <v>0.65</v>
      </c>
      <c r="Q131" s="12">
        <v>0.74</v>
      </c>
      <c r="R131" s="3">
        <v>0.66</v>
      </c>
      <c r="S131" s="29"/>
      <c r="T131" s="29"/>
      <c r="U131" s="28"/>
      <c r="V131" s="28"/>
      <c r="W131" s="28"/>
      <c r="X131" s="28"/>
      <c r="Y131" s="28"/>
      <c r="Z131" s="28"/>
    </row>
    <row r="132" spans="2:38" x14ac:dyDescent="0.25">
      <c r="C132" s="127"/>
      <c r="D132" s="27" t="s">
        <v>34</v>
      </c>
      <c r="E132" s="28"/>
      <c r="F132" s="3"/>
      <c r="G132" s="60">
        <v>0.39</v>
      </c>
      <c r="H132" s="61">
        <v>0.33</v>
      </c>
      <c r="I132" s="66">
        <v>0.41</v>
      </c>
      <c r="J132" s="61">
        <v>0.35</v>
      </c>
      <c r="K132" s="50"/>
      <c r="L132" s="51"/>
      <c r="M132" s="3">
        <v>0.42</v>
      </c>
      <c r="N132" s="3">
        <v>0.35</v>
      </c>
      <c r="O132" s="74">
        <v>0.41</v>
      </c>
      <c r="P132" s="70">
        <v>0.36</v>
      </c>
      <c r="Q132" s="12">
        <v>0.41</v>
      </c>
      <c r="R132" s="3">
        <v>0.37</v>
      </c>
      <c r="S132" s="29"/>
      <c r="T132" s="29"/>
      <c r="U132" s="28"/>
      <c r="V132" s="28"/>
      <c r="W132" s="28"/>
      <c r="X132" s="28"/>
      <c r="Y132" s="28"/>
      <c r="Z132" s="28"/>
    </row>
    <row r="133" spans="2:38" x14ac:dyDescent="0.25">
      <c r="C133" s="132" t="s">
        <v>15</v>
      </c>
      <c r="D133" s="133"/>
      <c r="E133" s="22"/>
      <c r="F133" s="19"/>
      <c r="G133" s="62">
        <v>0.91</v>
      </c>
      <c r="H133" s="63">
        <v>0.77</v>
      </c>
      <c r="I133" s="68">
        <v>0.93</v>
      </c>
      <c r="J133" s="63">
        <v>0.85</v>
      </c>
      <c r="K133" s="32"/>
      <c r="L133" s="20"/>
      <c r="M133" s="32">
        <v>0.92</v>
      </c>
      <c r="N133" s="33">
        <v>0.84</v>
      </c>
      <c r="O133" s="76">
        <v>0.92</v>
      </c>
      <c r="P133" s="55">
        <v>0.83</v>
      </c>
      <c r="Q133" s="32">
        <v>0.9</v>
      </c>
      <c r="R133" s="20">
        <v>0.85</v>
      </c>
      <c r="S133" s="32"/>
      <c r="T133" s="19"/>
      <c r="U133" s="19"/>
      <c r="V133" s="20"/>
      <c r="W133" s="32"/>
      <c r="X133" s="19"/>
      <c r="Y133" s="19"/>
      <c r="Z133" s="19"/>
    </row>
    <row r="134" spans="2:38" x14ac:dyDescent="0.25">
      <c r="C134" s="136" t="s">
        <v>31</v>
      </c>
      <c r="D134" s="136"/>
      <c r="E134" s="28"/>
      <c r="F134" s="3"/>
      <c r="G134" s="60">
        <v>0.17</v>
      </c>
      <c r="H134" s="61">
        <v>0.19</v>
      </c>
      <c r="I134" s="66">
        <v>0.19</v>
      </c>
      <c r="J134" s="61">
        <v>0.18</v>
      </c>
      <c r="K134" s="12"/>
      <c r="L134" s="35"/>
      <c r="M134" s="34">
        <v>0.16</v>
      </c>
      <c r="N134" s="34">
        <v>0.16</v>
      </c>
      <c r="O134" s="79">
        <v>0.16</v>
      </c>
      <c r="P134" s="69">
        <v>0.16</v>
      </c>
      <c r="Q134" s="36">
        <v>0.16</v>
      </c>
      <c r="R134" s="34">
        <v>0.16</v>
      </c>
      <c r="S134" s="34"/>
      <c r="T134" s="34"/>
      <c r="U134" s="28"/>
      <c r="V134" s="28"/>
      <c r="W134" s="28"/>
      <c r="X134" s="28"/>
      <c r="Y134" s="28"/>
      <c r="Z134" s="28"/>
    </row>
    <row r="135" spans="2:38" x14ac:dyDescent="0.25">
      <c r="C135" s="136" t="s">
        <v>81</v>
      </c>
      <c r="D135" s="136"/>
      <c r="E135" s="28"/>
      <c r="F135" s="3"/>
      <c r="G135" s="60">
        <v>8.4</v>
      </c>
      <c r="H135" s="61">
        <v>7.6</v>
      </c>
      <c r="I135" s="66">
        <v>7.7</v>
      </c>
      <c r="J135" s="61">
        <v>7.5</v>
      </c>
      <c r="K135" s="12"/>
      <c r="L135" s="35"/>
      <c r="M135" s="34">
        <v>8.4</v>
      </c>
      <c r="N135" s="34">
        <v>7.6</v>
      </c>
      <c r="O135" s="79">
        <v>7.6</v>
      </c>
      <c r="P135" s="69">
        <v>7.7</v>
      </c>
      <c r="Q135" s="36">
        <v>8.1</v>
      </c>
      <c r="R135" s="34">
        <v>7.8</v>
      </c>
      <c r="S135" s="34"/>
      <c r="T135" s="34"/>
      <c r="U135" s="28"/>
      <c r="V135" s="28"/>
      <c r="W135" s="28"/>
      <c r="X135" s="28"/>
      <c r="Y135" s="28"/>
      <c r="Z135" s="28"/>
    </row>
    <row r="136" spans="2:38" x14ac:dyDescent="0.25">
      <c r="C136" s="136" t="s">
        <v>82</v>
      </c>
      <c r="D136" s="136"/>
      <c r="E136" s="28"/>
      <c r="F136" s="3"/>
      <c r="G136" s="60"/>
      <c r="H136" s="61"/>
      <c r="I136" s="66"/>
      <c r="J136" s="61"/>
      <c r="K136" s="12"/>
      <c r="L136" s="35"/>
      <c r="M136" s="34"/>
      <c r="N136" s="34"/>
      <c r="O136" s="84">
        <v>26</v>
      </c>
      <c r="P136" s="69"/>
      <c r="Q136" s="36"/>
      <c r="R136" s="34"/>
      <c r="S136" s="34"/>
      <c r="T136" s="34"/>
      <c r="U136" s="28"/>
      <c r="V136" s="28"/>
      <c r="W136" s="28"/>
      <c r="X136" s="28"/>
      <c r="Y136" s="28"/>
      <c r="Z136" s="28"/>
    </row>
    <row r="137" spans="2:38" ht="15.75" x14ac:dyDescent="0.25">
      <c r="O137" s="85" t="s">
        <v>80</v>
      </c>
    </row>
    <row r="138" spans="2:38" x14ac:dyDescent="0.25">
      <c r="B138" s="17" t="s">
        <v>12</v>
      </c>
    </row>
    <row r="139" spans="2:38" x14ac:dyDescent="0.25">
      <c r="B139" s="140" t="s">
        <v>16</v>
      </c>
      <c r="C139" s="140"/>
      <c r="D139" s="23" t="s">
        <v>29</v>
      </c>
      <c r="E139" s="140" t="s">
        <v>65</v>
      </c>
      <c r="F139" s="140"/>
    </row>
    <row r="140" spans="2:38" x14ac:dyDescent="0.25">
      <c r="B140" s="140" t="s">
        <v>20</v>
      </c>
      <c r="C140" s="140"/>
      <c r="D140" s="24" t="s">
        <v>49</v>
      </c>
      <c r="AL140" t="s">
        <v>77</v>
      </c>
    </row>
    <row r="141" spans="2:38" ht="15.75" thickBot="1" x14ac:dyDescent="0.3">
      <c r="B141" t="s">
        <v>57</v>
      </c>
      <c r="J141" s="140" t="s">
        <v>85</v>
      </c>
      <c r="K141" s="140"/>
      <c r="R141" s="140" t="s">
        <v>25</v>
      </c>
      <c r="S141" s="140"/>
      <c r="X141" s="118" t="s">
        <v>86</v>
      </c>
      <c r="Y141" s="118"/>
      <c r="Z141" s="118"/>
      <c r="AA141" s="118"/>
      <c r="AD141" s="118" t="s">
        <v>86</v>
      </c>
      <c r="AE141" s="118"/>
      <c r="AF141" s="118"/>
      <c r="AG141" s="118"/>
    </row>
    <row r="142" spans="2:38" x14ac:dyDescent="0.25">
      <c r="C142" s="137"/>
      <c r="D142" s="138"/>
      <c r="E142" s="119" t="s">
        <v>14</v>
      </c>
      <c r="F142" s="120"/>
      <c r="G142" s="123" t="s">
        <v>62</v>
      </c>
      <c r="H142" s="124"/>
      <c r="I142" s="123" t="s">
        <v>62</v>
      </c>
      <c r="J142" s="124"/>
      <c r="K142" s="123" t="s">
        <v>63</v>
      </c>
      <c r="L142" s="124"/>
      <c r="M142" s="123" t="s">
        <v>64</v>
      </c>
      <c r="N142" s="124"/>
      <c r="O142" s="123"/>
      <c r="P142" s="124"/>
      <c r="Q142" s="123" t="s">
        <v>62</v>
      </c>
      <c r="R142" s="124"/>
      <c r="S142" s="123" t="s">
        <v>63</v>
      </c>
      <c r="T142" s="124"/>
      <c r="U142" s="123" t="s">
        <v>64</v>
      </c>
      <c r="V142" s="124"/>
      <c r="W142" s="151" t="s">
        <v>87</v>
      </c>
      <c r="X142" s="153"/>
      <c r="Y142" s="151" t="s">
        <v>88</v>
      </c>
      <c r="Z142" s="152"/>
      <c r="AA142" s="151" t="s">
        <v>89</v>
      </c>
      <c r="AB142" s="152"/>
      <c r="AC142" s="154" t="s">
        <v>90</v>
      </c>
      <c r="AD142" s="155"/>
      <c r="AE142" s="154" t="s">
        <v>91</v>
      </c>
      <c r="AF142" s="155"/>
      <c r="AG142" s="154" t="s">
        <v>92</v>
      </c>
      <c r="AH142" s="155"/>
    </row>
    <row r="143" spans="2:38" ht="15.75" thickBot="1" x14ac:dyDescent="0.3">
      <c r="C143" s="137" t="s">
        <v>8</v>
      </c>
      <c r="D143" s="138"/>
      <c r="E143" s="121"/>
      <c r="F143" s="122"/>
      <c r="G143" s="16" t="s">
        <v>0</v>
      </c>
      <c r="H143" s="10" t="s">
        <v>1</v>
      </c>
      <c r="I143" s="4" t="s">
        <v>0</v>
      </c>
      <c r="J143" s="10" t="s">
        <v>1</v>
      </c>
      <c r="K143" s="4" t="s">
        <v>0</v>
      </c>
      <c r="L143" s="10" t="s">
        <v>1</v>
      </c>
      <c r="M143" s="4" t="s">
        <v>0</v>
      </c>
      <c r="N143" s="10" t="s">
        <v>1</v>
      </c>
      <c r="O143" s="4" t="s">
        <v>0</v>
      </c>
      <c r="P143" s="10" t="s">
        <v>1</v>
      </c>
      <c r="Q143" s="4" t="s">
        <v>0</v>
      </c>
      <c r="R143" s="10" t="s">
        <v>1</v>
      </c>
      <c r="S143" s="4" t="s">
        <v>0</v>
      </c>
      <c r="T143" s="10" t="s">
        <v>1</v>
      </c>
      <c r="U143" s="4" t="s">
        <v>0</v>
      </c>
      <c r="V143" s="10" t="s">
        <v>1</v>
      </c>
      <c r="W143" s="4" t="s">
        <v>0</v>
      </c>
      <c r="X143" s="10" t="s">
        <v>1</v>
      </c>
      <c r="Y143" s="4" t="s">
        <v>0</v>
      </c>
      <c r="Z143" s="4" t="s">
        <v>1</v>
      </c>
      <c r="AA143" s="4" t="s">
        <v>0</v>
      </c>
      <c r="AB143" s="4" t="s">
        <v>1</v>
      </c>
      <c r="AC143" s="4" t="s">
        <v>0</v>
      </c>
      <c r="AD143" s="4" t="s">
        <v>1</v>
      </c>
      <c r="AE143" s="4" t="s">
        <v>0</v>
      </c>
      <c r="AF143" s="4" t="s">
        <v>1</v>
      </c>
      <c r="AG143" s="4" t="s">
        <v>0</v>
      </c>
      <c r="AH143" s="4" t="s">
        <v>1</v>
      </c>
    </row>
    <row r="144" spans="2:38" x14ac:dyDescent="0.25">
      <c r="C144" s="132" t="s">
        <v>11</v>
      </c>
      <c r="D144" s="133"/>
      <c r="E144" s="5">
        <v>256</v>
      </c>
      <c r="F144" s="34"/>
      <c r="G144" s="60">
        <v>256</v>
      </c>
      <c r="H144" s="61">
        <v>256</v>
      </c>
      <c r="I144" s="109">
        <v>256</v>
      </c>
      <c r="J144" s="70">
        <v>256</v>
      </c>
      <c r="K144" s="90">
        <v>256</v>
      </c>
      <c r="L144" s="12">
        <v>256</v>
      </c>
      <c r="M144" s="91">
        <v>256</v>
      </c>
      <c r="N144" s="11">
        <v>256</v>
      </c>
      <c r="O144" s="12"/>
      <c r="P144" s="5"/>
      <c r="Q144" s="109">
        <v>256</v>
      </c>
      <c r="R144" s="70">
        <v>256</v>
      </c>
      <c r="S144" s="90">
        <v>256</v>
      </c>
      <c r="T144" s="12">
        <v>256</v>
      </c>
      <c r="U144" s="91">
        <v>256</v>
      </c>
      <c r="V144" s="11">
        <v>256</v>
      </c>
      <c r="W144" s="12">
        <v>256</v>
      </c>
      <c r="X144" s="5"/>
      <c r="Y144" s="3">
        <v>256</v>
      </c>
      <c r="Z144" s="3"/>
      <c r="AA144" s="3">
        <v>256</v>
      </c>
      <c r="AB144" s="3"/>
      <c r="AC144" s="3">
        <v>256</v>
      </c>
      <c r="AD144" s="3"/>
      <c r="AE144" s="3">
        <v>256</v>
      </c>
      <c r="AF144" s="3"/>
      <c r="AG144" s="3">
        <v>256</v>
      </c>
      <c r="AH144" s="3"/>
    </row>
    <row r="145" spans="3:34" x14ac:dyDescent="0.25">
      <c r="C145" s="132" t="s">
        <v>2</v>
      </c>
      <c r="D145" s="133"/>
      <c r="E145" s="5">
        <v>19</v>
      </c>
      <c r="F145" s="34"/>
      <c r="G145" s="60">
        <v>23</v>
      </c>
      <c r="H145" s="61">
        <v>58</v>
      </c>
      <c r="I145" s="109">
        <v>21</v>
      </c>
      <c r="J145" s="70">
        <v>30</v>
      </c>
      <c r="K145" s="90">
        <v>20</v>
      </c>
      <c r="L145" s="12">
        <v>33</v>
      </c>
      <c r="M145" s="91">
        <v>21</v>
      </c>
      <c r="N145" s="11">
        <v>33</v>
      </c>
      <c r="O145" s="12"/>
      <c r="P145" s="6"/>
      <c r="Q145" s="91">
        <v>20</v>
      </c>
      <c r="R145" s="11"/>
      <c r="S145" s="90">
        <v>19</v>
      </c>
      <c r="T145" s="5"/>
      <c r="U145" s="91">
        <v>20</v>
      </c>
      <c r="V145" s="11"/>
      <c r="W145" s="12">
        <v>21</v>
      </c>
      <c r="X145" s="5"/>
      <c r="Y145" s="3">
        <v>20</v>
      </c>
      <c r="Z145" s="3"/>
      <c r="AA145" s="3">
        <v>20</v>
      </c>
      <c r="AB145" s="3"/>
      <c r="AC145" s="3">
        <v>19</v>
      </c>
      <c r="AD145" s="3"/>
      <c r="AE145" s="3">
        <v>20</v>
      </c>
      <c r="AF145" s="3"/>
      <c r="AG145" s="3">
        <v>19</v>
      </c>
      <c r="AH145" s="3"/>
    </row>
    <row r="146" spans="3:34" x14ac:dyDescent="0.25">
      <c r="C146" s="2"/>
      <c r="D146" s="15" t="s">
        <v>9</v>
      </c>
      <c r="E146" s="9">
        <f t="shared" ref="E146" si="32">E145/E144</f>
        <v>7.421875E-2</v>
      </c>
      <c r="F146" s="38"/>
      <c r="G146" s="64">
        <f t="shared" ref="G146:J146" si="33">G145/G144</f>
        <v>8.984375E-2</v>
      </c>
      <c r="H146" s="65">
        <f t="shared" si="33"/>
        <v>0.2265625</v>
      </c>
      <c r="I146" s="114">
        <f t="shared" si="33"/>
        <v>8.203125E-2</v>
      </c>
      <c r="J146" s="73">
        <f t="shared" si="33"/>
        <v>0.1171875</v>
      </c>
      <c r="K146" s="94">
        <f>K145/K144</f>
        <v>7.8125E-2</v>
      </c>
      <c r="L146" s="14">
        <f>L145/L144</f>
        <v>0.12890625</v>
      </c>
      <c r="M146" s="96">
        <f t="shared" ref="M146:N146" si="34">M145/M144</f>
        <v>8.203125E-2</v>
      </c>
      <c r="N146" s="13">
        <f t="shared" si="34"/>
        <v>0.12890625</v>
      </c>
      <c r="O146" s="14"/>
      <c r="P146" s="9" t="e">
        <f t="shared" ref="P146:AH146" si="35">P145/P144</f>
        <v>#DIV/0!</v>
      </c>
      <c r="Q146" s="96">
        <f t="shared" si="35"/>
        <v>7.8125E-2</v>
      </c>
      <c r="R146" s="13">
        <f t="shared" si="35"/>
        <v>0</v>
      </c>
      <c r="S146" s="96">
        <f t="shared" si="35"/>
        <v>7.421875E-2</v>
      </c>
      <c r="T146" s="9">
        <f t="shared" si="35"/>
        <v>0</v>
      </c>
      <c r="U146" s="96">
        <f t="shared" si="35"/>
        <v>7.8125E-2</v>
      </c>
      <c r="V146" s="13">
        <f t="shared" si="35"/>
        <v>0</v>
      </c>
      <c r="W146" s="9">
        <f t="shared" si="35"/>
        <v>8.203125E-2</v>
      </c>
      <c r="X146" s="9" t="e">
        <f t="shared" si="35"/>
        <v>#DIV/0!</v>
      </c>
      <c r="Y146" s="8">
        <f t="shared" si="35"/>
        <v>7.8125E-2</v>
      </c>
      <c r="Z146" s="8" t="e">
        <f t="shared" si="35"/>
        <v>#DIV/0!</v>
      </c>
      <c r="AA146" s="8">
        <f t="shared" si="35"/>
        <v>7.8125E-2</v>
      </c>
      <c r="AB146" s="8" t="e">
        <f t="shared" si="35"/>
        <v>#DIV/0!</v>
      </c>
      <c r="AC146" s="8">
        <f t="shared" si="35"/>
        <v>7.421875E-2</v>
      </c>
      <c r="AD146" s="8" t="e">
        <f t="shared" si="35"/>
        <v>#DIV/0!</v>
      </c>
      <c r="AE146" s="8">
        <f t="shared" si="35"/>
        <v>7.8125E-2</v>
      </c>
      <c r="AF146" s="8" t="e">
        <f t="shared" si="35"/>
        <v>#DIV/0!</v>
      </c>
      <c r="AG146" s="8">
        <f t="shared" si="35"/>
        <v>7.421875E-2</v>
      </c>
      <c r="AH146" s="8" t="e">
        <f t="shared" si="35"/>
        <v>#DIV/0!</v>
      </c>
    </row>
    <row r="147" spans="3:34" x14ac:dyDescent="0.25">
      <c r="C147" s="132" t="s">
        <v>3</v>
      </c>
      <c r="D147" s="133"/>
      <c r="E147" s="5">
        <v>32</v>
      </c>
      <c r="F147" s="34"/>
      <c r="G147" s="60">
        <v>33</v>
      </c>
      <c r="H147" s="61">
        <v>25</v>
      </c>
      <c r="I147" s="109">
        <v>35</v>
      </c>
      <c r="J147" s="70">
        <v>28</v>
      </c>
      <c r="K147" s="90">
        <v>34</v>
      </c>
      <c r="L147" s="12">
        <v>29</v>
      </c>
      <c r="M147" s="91">
        <v>35</v>
      </c>
      <c r="N147" s="11">
        <v>34</v>
      </c>
      <c r="O147" s="12"/>
      <c r="P147" s="6"/>
      <c r="Q147" s="91">
        <v>34</v>
      </c>
      <c r="R147" s="11"/>
      <c r="S147" s="90">
        <v>33</v>
      </c>
      <c r="T147" s="5"/>
      <c r="U147" s="91">
        <v>34</v>
      </c>
      <c r="V147" s="11"/>
      <c r="W147" s="12">
        <v>35</v>
      </c>
      <c r="X147" s="5"/>
      <c r="Y147" s="3">
        <v>34</v>
      </c>
      <c r="Z147" s="3"/>
      <c r="AA147" s="3">
        <v>34</v>
      </c>
      <c r="AB147" s="3"/>
      <c r="AC147" s="3">
        <v>33</v>
      </c>
      <c r="AD147" s="3"/>
      <c r="AE147" s="3">
        <v>34</v>
      </c>
      <c r="AF147" s="3"/>
      <c r="AG147" s="3">
        <v>33</v>
      </c>
      <c r="AH147" s="3"/>
    </row>
    <row r="148" spans="3:34" x14ac:dyDescent="0.25">
      <c r="C148" s="1"/>
      <c r="D148" s="15" t="s">
        <v>10</v>
      </c>
      <c r="E148" s="9">
        <f t="shared" ref="E148" si="36">E147/E144</f>
        <v>0.125</v>
      </c>
      <c r="F148" s="38"/>
      <c r="G148" s="64">
        <f t="shared" ref="G148:J148" si="37">G147/G144</f>
        <v>0.12890625</v>
      </c>
      <c r="H148" s="65">
        <f t="shared" si="37"/>
        <v>9.765625E-2</v>
      </c>
      <c r="I148" s="114">
        <f t="shared" si="37"/>
        <v>0.13671875</v>
      </c>
      <c r="J148" s="73">
        <f t="shared" si="37"/>
        <v>0.109375</v>
      </c>
      <c r="K148" s="94">
        <f>K147/K144</f>
        <v>0.1328125</v>
      </c>
      <c r="L148" s="14">
        <f>L147/L144</f>
        <v>0.11328125</v>
      </c>
      <c r="M148" s="96">
        <f t="shared" ref="M148:N148" si="38">M147/M144</f>
        <v>0.13671875</v>
      </c>
      <c r="N148" s="13">
        <f t="shared" si="38"/>
        <v>0.1328125</v>
      </c>
      <c r="O148" s="14"/>
      <c r="P148" s="9" t="e">
        <f t="shared" ref="P148:AH148" si="39">P147/P144</f>
        <v>#DIV/0!</v>
      </c>
      <c r="Q148" s="96">
        <f t="shared" si="39"/>
        <v>0.1328125</v>
      </c>
      <c r="R148" s="13">
        <f t="shared" si="39"/>
        <v>0</v>
      </c>
      <c r="S148" s="96">
        <f t="shared" si="39"/>
        <v>0.12890625</v>
      </c>
      <c r="T148" s="9">
        <f t="shared" si="39"/>
        <v>0</v>
      </c>
      <c r="U148" s="96">
        <f t="shared" si="39"/>
        <v>0.1328125</v>
      </c>
      <c r="V148" s="13">
        <f t="shared" si="39"/>
        <v>0</v>
      </c>
      <c r="W148" s="9">
        <f t="shared" si="39"/>
        <v>0.13671875</v>
      </c>
      <c r="X148" s="9" t="e">
        <f t="shared" si="39"/>
        <v>#DIV/0!</v>
      </c>
      <c r="Y148" s="8">
        <f t="shared" si="39"/>
        <v>0.1328125</v>
      </c>
      <c r="Z148" s="8" t="e">
        <f t="shared" si="39"/>
        <v>#DIV/0!</v>
      </c>
      <c r="AA148" s="8">
        <f t="shared" si="39"/>
        <v>0.1328125</v>
      </c>
      <c r="AB148" s="8" t="e">
        <f t="shared" si="39"/>
        <v>#DIV/0!</v>
      </c>
      <c r="AC148" s="8">
        <f t="shared" si="39"/>
        <v>0.12890625</v>
      </c>
      <c r="AD148" s="8" t="e">
        <f t="shared" si="39"/>
        <v>#DIV/0!</v>
      </c>
      <c r="AE148" s="8">
        <f t="shared" si="39"/>
        <v>0.1328125</v>
      </c>
      <c r="AF148" s="8" t="e">
        <f t="shared" si="39"/>
        <v>#DIV/0!</v>
      </c>
      <c r="AG148" s="8">
        <f t="shared" si="39"/>
        <v>0.12890625</v>
      </c>
      <c r="AH148" s="8" t="e">
        <f t="shared" si="39"/>
        <v>#DIV/0!</v>
      </c>
    </row>
    <row r="149" spans="3:34" x14ac:dyDescent="0.25">
      <c r="C149" s="13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35"/>
    </row>
    <row r="150" spans="3:34" x14ac:dyDescent="0.25">
      <c r="C150" s="132" t="s">
        <v>4</v>
      </c>
      <c r="D150" s="133"/>
      <c r="E150" s="5">
        <v>0.82</v>
      </c>
      <c r="F150" s="34"/>
      <c r="G150" s="60">
        <v>0.75</v>
      </c>
      <c r="H150" s="61">
        <v>0.61</v>
      </c>
      <c r="I150" s="109">
        <v>0.73</v>
      </c>
      <c r="J150" s="70">
        <v>0.64</v>
      </c>
      <c r="K150" s="90">
        <v>0.77</v>
      </c>
      <c r="L150" s="12">
        <v>0.61</v>
      </c>
      <c r="M150" s="91">
        <v>0.72</v>
      </c>
      <c r="N150" s="11">
        <v>0.64</v>
      </c>
      <c r="O150" s="12"/>
      <c r="P150" s="7"/>
      <c r="Q150" s="91">
        <v>0.76</v>
      </c>
      <c r="R150" s="11"/>
      <c r="S150" s="90">
        <v>0.77</v>
      </c>
      <c r="T150" s="5"/>
      <c r="U150" s="91">
        <v>0.76</v>
      </c>
      <c r="V150" s="11"/>
      <c r="W150" s="12">
        <v>0.72</v>
      </c>
      <c r="X150" s="5"/>
      <c r="Y150" s="3">
        <v>0.73</v>
      </c>
      <c r="Z150" s="3"/>
      <c r="AA150" s="3">
        <v>0.72</v>
      </c>
      <c r="AB150" s="3"/>
      <c r="AC150" s="3">
        <v>0.75</v>
      </c>
      <c r="AD150" s="3"/>
      <c r="AE150" s="3">
        <v>0.7</v>
      </c>
      <c r="AF150" s="3"/>
      <c r="AG150" s="3">
        <v>0.74</v>
      </c>
      <c r="AH150" s="3"/>
    </row>
    <row r="151" spans="3:34" x14ac:dyDescent="0.25">
      <c r="C151" s="134" t="s">
        <v>38</v>
      </c>
      <c r="D151" s="139"/>
      <c r="E151" s="5">
        <v>0.82</v>
      </c>
      <c r="F151" s="34"/>
      <c r="G151" s="66">
        <v>0.81</v>
      </c>
      <c r="H151" s="61">
        <v>0.71</v>
      </c>
      <c r="I151" s="86">
        <v>0.81</v>
      </c>
      <c r="J151" s="70">
        <v>0.8</v>
      </c>
      <c r="K151" s="90">
        <v>0.81</v>
      </c>
      <c r="L151" s="12">
        <v>0.78</v>
      </c>
      <c r="M151" s="90">
        <v>0.81</v>
      </c>
      <c r="N151" s="37">
        <v>0.77</v>
      </c>
      <c r="O151" s="36"/>
      <c r="P151" s="47"/>
      <c r="Q151" s="90">
        <v>0.81</v>
      </c>
      <c r="R151" s="35"/>
      <c r="S151" s="90">
        <v>0.82</v>
      </c>
      <c r="T151" s="34"/>
      <c r="U151" s="91">
        <v>0.81</v>
      </c>
      <c r="V151" s="35"/>
      <c r="W151" s="36">
        <v>0.81</v>
      </c>
      <c r="X151" s="34"/>
      <c r="Y151" s="3">
        <v>0.81</v>
      </c>
      <c r="Z151" s="3"/>
      <c r="AA151" s="3">
        <v>0.81</v>
      </c>
      <c r="AB151" s="3"/>
      <c r="AC151" s="3">
        <v>0.82</v>
      </c>
      <c r="AD151" s="3"/>
      <c r="AE151" s="3">
        <v>0.81</v>
      </c>
      <c r="AF151" s="3"/>
      <c r="AG151" s="3">
        <v>0.82</v>
      </c>
      <c r="AH151" s="3"/>
    </row>
    <row r="152" spans="3:34" x14ac:dyDescent="0.25">
      <c r="C152" s="132" t="s">
        <v>5</v>
      </c>
      <c r="D152" s="133"/>
      <c r="E152" s="5">
        <v>0.88</v>
      </c>
      <c r="F152" s="34"/>
      <c r="G152" s="60">
        <v>0.81</v>
      </c>
      <c r="H152" s="61">
        <v>0.76</v>
      </c>
      <c r="I152" s="109">
        <v>0.79</v>
      </c>
      <c r="J152" s="70">
        <v>0.72</v>
      </c>
      <c r="K152" s="90">
        <v>0.82</v>
      </c>
      <c r="L152" s="12">
        <v>0.68</v>
      </c>
      <c r="M152" s="91">
        <v>0.78</v>
      </c>
      <c r="N152" s="11">
        <v>0.71</v>
      </c>
      <c r="O152" s="12"/>
      <c r="P152" s="7"/>
      <c r="Q152" s="91">
        <v>0.82</v>
      </c>
      <c r="R152" s="11"/>
      <c r="S152" s="90">
        <v>0.82</v>
      </c>
      <c r="T152" s="5"/>
      <c r="U152" s="91">
        <v>0.81</v>
      </c>
      <c r="V152" s="11"/>
      <c r="W152" s="12">
        <v>0.77</v>
      </c>
      <c r="X152" s="5"/>
      <c r="Y152" s="3">
        <v>0.78</v>
      </c>
      <c r="Z152" s="3"/>
      <c r="AA152" s="3">
        <v>0.78</v>
      </c>
      <c r="AB152" s="3"/>
      <c r="AC152" s="3">
        <v>0.8</v>
      </c>
      <c r="AD152" s="3"/>
      <c r="AE152" s="3">
        <v>0.75</v>
      </c>
      <c r="AF152" s="3"/>
      <c r="AG152" s="3">
        <v>0.79</v>
      </c>
      <c r="AH152" s="3"/>
    </row>
    <row r="153" spans="3:34" x14ac:dyDescent="0.25">
      <c r="C153" s="132" t="s">
        <v>6</v>
      </c>
      <c r="D153" s="133"/>
      <c r="E153" s="5">
        <v>0.93</v>
      </c>
      <c r="F153" s="34"/>
      <c r="G153" s="60">
        <v>0.84</v>
      </c>
      <c r="H153" s="61">
        <v>0.64</v>
      </c>
      <c r="I153" s="109">
        <v>0.83</v>
      </c>
      <c r="J153" s="70">
        <v>0.69</v>
      </c>
      <c r="K153" s="90">
        <v>0.86</v>
      </c>
      <c r="L153" s="12">
        <v>0.67</v>
      </c>
      <c r="M153" s="91">
        <v>0.82</v>
      </c>
      <c r="N153" s="11">
        <v>0.71</v>
      </c>
      <c r="O153" s="12"/>
      <c r="P153" s="7"/>
      <c r="Q153" s="91">
        <v>0.86</v>
      </c>
      <c r="R153" s="11"/>
      <c r="S153" s="90">
        <v>0.86</v>
      </c>
      <c r="T153" s="5"/>
      <c r="U153" s="91">
        <v>0.85</v>
      </c>
      <c r="V153" s="11"/>
      <c r="W153" s="12">
        <v>0.81</v>
      </c>
      <c r="X153" s="5"/>
      <c r="Y153" s="3">
        <v>0.82</v>
      </c>
      <c r="Z153" s="3"/>
      <c r="AA153" s="3">
        <v>0.81</v>
      </c>
      <c r="AB153" s="3"/>
      <c r="AC153" s="3">
        <v>0.84</v>
      </c>
      <c r="AD153" s="3"/>
      <c r="AE153" s="3">
        <v>0.79</v>
      </c>
      <c r="AF153" s="3"/>
      <c r="AG153" s="3">
        <v>0.84</v>
      </c>
      <c r="AH153" s="3"/>
    </row>
    <row r="154" spans="3:34" x14ac:dyDescent="0.25">
      <c r="C154" s="132" t="s">
        <v>7</v>
      </c>
      <c r="D154" s="133"/>
      <c r="E154" s="5">
        <v>0.9</v>
      </c>
      <c r="F154" s="34"/>
      <c r="G154" s="60">
        <v>0.83</v>
      </c>
      <c r="H154" s="61">
        <v>0.67</v>
      </c>
      <c r="I154" s="109">
        <v>0.81</v>
      </c>
      <c r="J154" s="70">
        <v>0.69</v>
      </c>
      <c r="K154" s="90">
        <v>0.84</v>
      </c>
      <c r="L154" s="12">
        <v>0.67</v>
      </c>
      <c r="M154" s="91">
        <v>0.79</v>
      </c>
      <c r="N154" s="11">
        <v>0.7</v>
      </c>
      <c r="O154" s="12"/>
      <c r="P154" s="7"/>
      <c r="Q154" s="91">
        <v>0.84</v>
      </c>
      <c r="R154" s="11"/>
      <c r="S154" s="90">
        <v>0.84</v>
      </c>
      <c r="T154" s="5"/>
      <c r="U154" s="91">
        <v>0.83</v>
      </c>
      <c r="V154" s="11"/>
      <c r="W154" s="12">
        <v>0.79</v>
      </c>
      <c r="X154" s="5"/>
      <c r="Y154" s="3">
        <v>0.79</v>
      </c>
      <c r="Z154" s="3"/>
      <c r="AA154" s="3">
        <v>0.79</v>
      </c>
      <c r="AB154" s="3"/>
      <c r="AC154" s="3">
        <v>0.82</v>
      </c>
      <c r="AD154" s="3"/>
      <c r="AE154" s="3">
        <v>0.77</v>
      </c>
      <c r="AF154" s="3"/>
      <c r="AG154" s="3">
        <v>0.82</v>
      </c>
      <c r="AH154" s="3"/>
    </row>
    <row r="155" spans="3:34" x14ac:dyDescent="0.25">
      <c r="C155" s="13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35"/>
    </row>
    <row r="156" spans="3:34" x14ac:dyDescent="0.25">
      <c r="C156" s="134" t="s">
        <v>37</v>
      </c>
      <c r="D156" s="117"/>
      <c r="E156" s="5"/>
      <c r="F156" s="5"/>
      <c r="G156" s="67">
        <v>0.55000000000000004</v>
      </c>
      <c r="H156" s="59">
        <v>0.65</v>
      </c>
      <c r="I156" s="75">
        <v>0.5</v>
      </c>
      <c r="J156" s="54">
        <v>0.5</v>
      </c>
      <c r="K156" s="49">
        <v>0.5</v>
      </c>
      <c r="L156" s="49">
        <v>0.5</v>
      </c>
      <c r="M156" s="5">
        <v>0.5</v>
      </c>
      <c r="N156" s="30">
        <v>0.5</v>
      </c>
      <c r="O156" s="67"/>
      <c r="P156" s="59"/>
      <c r="Q156" s="67">
        <v>0.5</v>
      </c>
      <c r="R156" s="59">
        <v>0.5</v>
      </c>
      <c r="S156" s="67">
        <v>0.5</v>
      </c>
      <c r="T156" s="67">
        <v>0.5</v>
      </c>
      <c r="U156" s="7">
        <v>0.5</v>
      </c>
      <c r="V156" s="7">
        <v>0.5</v>
      </c>
      <c r="W156" s="5">
        <v>0.5</v>
      </c>
      <c r="X156" s="5"/>
      <c r="Y156" s="5">
        <v>0.5</v>
      </c>
      <c r="Z156" s="5"/>
      <c r="AA156" s="5">
        <v>0.5</v>
      </c>
      <c r="AB156" s="5"/>
      <c r="AC156" s="5">
        <v>0.5</v>
      </c>
      <c r="AD156" s="5"/>
      <c r="AE156" s="5">
        <v>0.5</v>
      </c>
      <c r="AF156" s="5"/>
      <c r="AG156" s="5">
        <v>0.5</v>
      </c>
      <c r="AH156" s="5"/>
    </row>
    <row r="157" spans="3:34" x14ac:dyDescent="0.25">
      <c r="C157" s="127" t="s">
        <v>36</v>
      </c>
      <c r="D157" s="27" t="s">
        <v>33</v>
      </c>
      <c r="E157" s="28"/>
      <c r="F157" s="3"/>
      <c r="G157" s="74">
        <v>0.81</v>
      </c>
      <c r="H157" s="70">
        <v>0.69</v>
      </c>
      <c r="I157" s="74">
        <v>0.8</v>
      </c>
      <c r="J157" s="70">
        <v>0.7</v>
      </c>
      <c r="K157" s="50">
        <v>0.83</v>
      </c>
      <c r="L157" s="50">
        <v>0.67</v>
      </c>
      <c r="M157" s="3">
        <v>0.79</v>
      </c>
      <c r="N157" s="3">
        <v>0.7</v>
      </c>
      <c r="O157" s="12"/>
      <c r="P157" s="11"/>
      <c r="Q157" s="12">
        <v>0.83</v>
      </c>
      <c r="R157" s="3"/>
      <c r="S157" s="29">
        <v>0.83</v>
      </c>
      <c r="T157" s="29"/>
      <c r="U157" s="3">
        <v>0.82</v>
      </c>
      <c r="V157" s="28"/>
      <c r="W157" s="3">
        <v>0.78</v>
      </c>
      <c r="X157" s="3"/>
      <c r="Y157" s="3">
        <v>0.79</v>
      </c>
      <c r="Z157" s="3"/>
      <c r="AA157" s="3">
        <v>0.78</v>
      </c>
      <c r="AB157" s="3"/>
      <c r="AC157" s="3">
        <v>0.81</v>
      </c>
      <c r="AD157" s="3"/>
      <c r="AE157" s="3">
        <v>0.76</v>
      </c>
      <c r="AF157" s="3"/>
      <c r="AG157" s="3">
        <v>0.8</v>
      </c>
      <c r="AH157" s="3"/>
    </row>
    <row r="158" spans="3:34" x14ac:dyDescent="0.25">
      <c r="C158" s="127"/>
      <c r="D158" s="27" t="s">
        <v>34</v>
      </c>
      <c r="E158" s="28"/>
      <c r="F158" s="3"/>
      <c r="G158" s="74">
        <v>0.57999999999999996</v>
      </c>
      <c r="H158" s="70">
        <v>0.49</v>
      </c>
      <c r="I158" s="74">
        <v>0.56000000000000005</v>
      </c>
      <c r="J158" s="70">
        <v>0.49</v>
      </c>
      <c r="K158" s="50">
        <v>0.59</v>
      </c>
      <c r="L158" s="50">
        <v>0.47</v>
      </c>
      <c r="M158" s="3">
        <v>0.56000000000000005</v>
      </c>
      <c r="N158" s="3">
        <v>0.5</v>
      </c>
      <c r="O158" s="12"/>
      <c r="P158" s="11"/>
      <c r="Q158" s="12">
        <v>0.59</v>
      </c>
      <c r="R158" s="3"/>
      <c r="S158" s="29">
        <v>0.59</v>
      </c>
      <c r="T158" s="29"/>
      <c r="U158" s="3">
        <v>0.57999999999999996</v>
      </c>
      <c r="V158" s="28"/>
      <c r="W158" s="3">
        <v>0.55000000000000004</v>
      </c>
      <c r="X158" s="3"/>
      <c r="Y158" s="3">
        <v>0.56000000000000005</v>
      </c>
      <c r="Z158" s="3"/>
      <c r="AA158" s="3">
        <v>0.55000000000000004</v>
      </c>
      <c r="AB158" s="3"/>
      <c r="AC158" s="3">
        <v>0.56999999999999995</v>
      </c>
      <c r="AD158" s="3"/>
      <c r="AE158" s="3">
        <v>0.54</v>
      </c>
      <c r="AF158" s="3"/>
      <c r="AG158" s="3">
        <v>0.56999999999999995</v>
      </c>
      <c r="AH158" s="3"/>
    </row>
    <row r="159" spans="3:34" x14ac:dyDescent="0.25">
      <c r="C159" s="127" t="s">
        <v>35</v>
      </c>
      <c r="D159" s="27" t="s">
        <v>33</v>
      </c>
      <c r="E159" s="28"/>
      <c r="F159" s="3"/>
      <c r="G159" s="74">
        <v>0.74</v>
      </c>
      <c r="H159" s="70">
        <v>0.63</v>
      </c>
      <c r="I159" s="74">
        <v>0.72</v>
      </c>
      <c r="J159" s="70">
        <v>0.63</v>
      </c>
      <c r="K159" s="50">
        <v>0.76</v>
      </c>
      <c r="L159" s="50">
        <v>0.61</v>
      </c>
      <c r="M159" s="3">
        <v>0.71</v>
      </c>
      <c r="N159" s="3">
        <v>0.64</v>
      </c>
      <c r="O159" s="12"/>
      <c r="P159" s="11"/>
      <c r="Q159" s="12">
        <v>0.75</v>
      </c>
      <c r="R159" s="3"/>
      <c r="S159" s="29">
        <v>0.75</v>
      </c>
      <c r="T159" s="29"/>
      <c r="U159" s="3">
        <v>0.74</v>
      </c>
      <c r="V159" s="28"/>
      <c r="W159" s="3">
        <v>0.71</v>
      </c>
      <c r="X159" s="3"/>
      <c r="Y159" s="3">
        <v>0.71</v>
      </c>
      <c r="Z159" s="3"/>
      <c r="AA159" s="3">
        <v>0.71</v>
      </c>
      <c r="AB159" s="3"/>
      <c r="AC159" s="3">
        <v>0.74</v>
      </c>
      <c r="AD159" s="3"/>
      <c r="AE159" s="3">
        <v>0.69</v>
      </c>
      <c r="AF159" s="3"/>
      <c r="AG159" s="3">
        <v>0.73</v>
      </c>
      <c r="AH159" s="3"/>
    </row>
    <row r="160" spans="3:34" x14ac:dyDescent="0.25">
      <c r="C160" s="127"/>
      <c r="D160" s="27" t="s">
        <v>34</v>
      </c>
      <c r="E160" s="28"/>
      <c r="F160" s="3"/>
      <c r="G160" s="74">
        <v>0.41</v>
      </c>
      <c r="H160" s="70">
        <v>0.35</v>
      </c>
      <c r="I160" s="74">
        <v>0.4</v>
      </c>
      <c r="J160" s="70">
        <v>0.35</v>
      </c>
      <c r="K160" s="50">
        <v>0.42</v>
      </c>
      <c r="L160" s="50">
        <v>0.34</v>
      </c>
      <c r="M160" s="3">
        <v>0.4</v>
      </c>
      <c r="N160" s="3">
        <v>0.36</v>
      </c>
      <c r="O160" s="12"/>
      <c r="P160" s="11"/>
      <c r="Q160" s="12">
        <v>0.42</v>
      </c>
      <c r="R160" s="3"/>
      <c r="S160" s="29">
        <v>0.42</v>
      </c>
      <c r="T160" s="29"/>
      <c r="U160" s="3">
        <v>0.41</v>
      </c>
      <c r="V160" s="28"/>
      <c r="W160" s="3">
        <v>0.4</v>
      </c>
      <c r="X160" s="3"/>
      <c r="Y160" s="3">
        <v>0.4</v>
      </c>
      <c r="Z160" s="3"/>
      <c r="AA160" s="3">
        <v>0.4</v>
      </c>
      <c r="AB160" s="3"/>
      <c r="AC160" s="3">
        <v>0.41</v>
      </c>
      <c r="AD160" s="3"/>
      <c r="AE160" s="3">
        <v>0.39</v>
      </c>
      <c r="AF160" s="3"/>
      <c r="AG160" s="3">
        <v>0.41</v>
      </c>
      <c r="AH160" s="3"/>
    </row>
    <row r="161" spans="2:34" x14ac:dyDescent="0.25">
      <c r="C161" s="132" t="s">
        <v>15</v>
      </c>
      <c r="D161" s="133"/>
      <c r="E161" s="22"/>
      <c r="F161" s="19"/>
      <c r="G161" s="76">
        <v>0.93</v>
      </c>
      <c r="H161" s="55">
        <v>0.85</v>
      </c>
      <c r="I161" s="76">
        <v>0.92</v>
      </c>
      <c r="J161" s="55">
        <v>0.84</v>
      </c>
      <c r="K161" s="32">
        <v>0.92</v>
      </c>
      <c r="L161" s="32">
        <v>0.82</v>
      </c>
      <c r="M161" s="32">
        <v>0.92</v>
      </c>
      <c r="N161" s="33">
        <v>0.84</v>
      </c>
      <c r="O161" s="32"/>
      <c r="P161" s="55"/>
      <c r="Q161" s="32">
        <v>0.91</v>
      </c>
      <c r="R161" s="20"/>
      <c r="S161" s="32">
        <v>0.92</v>
      </c>
      <c r="T161" s="19"/>
      <c r="U161" s="19">
        <v>0.92</v>
      </c>
      <c r="V161" s="20"/>
      <c r="W161" s="32">
        <v>0.87</v>
      </c>
      <c r="X161" s="19"/>
      <c r="Y161" s="19">
        <v>0.86</v>
      </c>
      <c r="Z161" s="19"/>
      <c r="AA161" s="19">
        <v>0.86</v>
      </c>
      <c r="AB161" s="19"/>
      <c r="AC161" s="19">
        <v>0.86</v>
      </c>
      <c r="AD161" s="19"/>
      <c r="AE161" s="19">
        <v>0.86</v>
      </c>
      <c r="AF161" s="19"/>
      <c r="AG161" s="19">
        <v>0.87</v>
      </c>
      <c r="AH161" s="19"/>
    </row>
    <row r="162" spans="2:34" x14ac:dyDescent="0.25">
      <c r="C162" s="136" t="s">
        <v>31</v>
      </c>
      <c r="D162" s="136"/>
      <c r="E162" s="28"/>
      <c r="F162" s="3"/>
      <c r="G162" s="74">
        <v>0.19</v>
      </c>
      <c r="H162" s="70">
        <v>0.18</v>
      </c>
      <c r="I162" s="74">
        <v>0.15</v>
      </c>
      <c r="J162" s="70">
        <v>0.17</v>
      </c>
      <c r="K162" s="12">
        <v>0.16</v>
      </c>
      <c r="L162" s="12">
        <v>0.16</v>
      </c>
      <c r="M162" s="34">
        <v>0.17</v>
      </c>
      <c r="N162" s="34">
        <v>0.16</v>
      </c>
      <c r="O162" s="36"/>
      <c r="P162" s="35"/>
      <c r="Q162" s="36">
        <v>0.17</v>
      </c>
      <c r="R162" s="34"/>
      <c r="S162" s="34">
        <v>0.16</v>
      </c>
      <c r="T162" s="34"/>
      <c r="U162" s="3">
        <v>0.16</v>
      </c>
      <c r="V162" s="28"/>
      <c r="W162" s="3">
        <v>0.15</v>
      </c>
      <c r="X162" s="3"/>
      <c r="Y162" s="3">
        <v>0.33</v>
      </c>
      <c r="Z162" s="3"/>
      <c r="AA162" s="3">
        <v>0.46</v>
      </c>
      <c r="AB162" s="3"/>
      <c r="AC162" s="3">
        <v>0.15</v>
      </c>
      <c r="AD162" s="3"/>
      <c r="AE162" s="3">
        <v>0.38</v>
      </c>
      <c r="AF162" s="3"/>
      <c r="AG162" s="3">
        <v>0.45</v>
      </c>
      <c r="AH162" s="3"/>
    </row>
    <row r="163" spans="2:34" x14ac:dyDescent="0.25">
      <c r="C163" s="136" t="s">
        <v>32</v>
      </c>
      <c r="D163" s="136"/>
      <c r="E163" s="28"/>
      <c r="F163" s="3"/>
      <c r="G163" s="74">
        <v>7.7</v>
      </c>
      <c r="H163" s="70">
        <v>7.5</v>
      </c>
      <c r="I163" s="74">
        <v>7.5</v>
      </c>
      <c r="J163" s="70">
        <v>7.4</v>
      </c>
      <c r="K163" s="12">
        <v>7.2</v>
      </c>
      <c r="L163" s="12">
        <v>8</v>
      </c>
      <c r="M163" s="34">
        <v>7.5</v>
      </c>
      <c r="N163" s="34">
        <v>7.4</v>
      </c>
      <c r="O163" s="36"/>
      <c r="P163" s="35"/>
      <c r="Q163" s="36">
        <v>7.6</v>
      </c>
      <c r="R163" s="34"/>
      <c r="S163" s="34">
        <v>7.6</v>
      </c>
      <c r="T163" s="34"/>
      <c r="U163" s="3">
        <v>7.6</v>
      </c>
      <c r="V163" s="28"/>
      <c r="W163" s="3">
        <v>7.4</v>
      </c>
      <c r="X163" s="3"/>
      <c r="Y163" s="3">
        <v>7.4</v>
      </c>
      <c r="Z163" s="3"/>
      <c r="AA163" s="3">
        <v>7.5</v>
      </c>
      <c r="AB163" s="3"/>
      <c r="AC163" s="3">
        <v>7.5</v>
      </c>
      <c r="AD163" s="3"/>
      <c r="AE163" s="3">
        <v>7.5</v>
      </c>
      <c r="AF163" s="3"/>
      <c r="AG163" s="3">
        <v>7.5</v>
      </c>
      <c r="AH163" s="3"/>
    </row>
    <row r="165" spans="2:34" x14ac:dyDescent="0.25">
      <c r="B165" s="17" t="s">
        <v>12</v>
      </c>
    </row>
    <row r="166" spans="2:34" x14ac:dyDescent="0.25">
      <c r="B166" s="140" t="s">
        <v>16</v>
      </c>
      <c r="C166" s="140"/>
      <c r="D166" s="23" t="s">
        <v>29</v>
      </c>
      <c r="E166" s="140" t="s">
        <v>78</v>
      </c>
      <c r="F166" s="140"/>
    </row>
    <row r="167" spans="2:34" x14ac:dyDescent="0.25">
      <c r="B167" s="140" t="s">
        <v>20</v>
      </c>
      <c r="C167" s="140"/>
      <c r="D167" s="24" t="s">
        <v>49</v>
      </c>
    </row>
    <row r="168" spans="2:34" ht="15.75" thickBot="1" x14ac:dyDescent="0.3">
      <c r="B168" t="s">
        <v>79</v>
      </c>
    </row>
    <row r="169" spans="2:34" x14ac:dyDescent="0.25">
      <c r="C169" s="137"/>
      <c r="D169" s="138"/>
      <c r="E169" s="119" t="s">
        <v>14</v>
      </c>
      <c r="F169" s="120"/>
      <c r="G169" s="123">
        <v>0.4</v>
      </c>
      <c r="H169" s="124"/>
      <c r="I169" s="123">
        <v>0.5</v>
      </c>
      <c r="J169" s="124"/>
      <c r="K169" s="123">
        <v>0.6</v>
      </c>
      <c r="L169" s="124"/>
      <c r="M169" s="123">
        <v>0.7</v>
      </c>
      <c r="N169" s="124"/>
    </row>
    <row r="170" spans="2:34" ht="15.75" thickBot="1" x14ac:dyDescent="0.3">
      <c r="C170" s="137" t="s">
        <v>8</v>
      </c>
      <c r="D170" s="138"/>
      <c r="E170" s="121"/>
      <c r="F170" s="122"/>
      <c r="G170" s="16" t="s">
        <v>0</v>
      </c>
      <c r="H170" s="10" t="s">
        <v>1</v>
      </c>
      <c r="I170" s="4" t="s">
        <v>0</v>
      </c>
      <c r="J170" s="10" t="s">
        <v>1</v>
      </c>
      <c r="K170" s="4" t="s">
        <v>0</v>
      </c>
      <c r="L170" s="10" t="s">
        <v>1</v>
      </c>
      <c r="M170" s="4" t="s">
        <v>0</v>
      </c>
      <c r="N170" s="10" t="s">
        <v>1</v>
      </c>
    </row>
    <row r="171" spans="2:34" x14ac:dyDescent="0.25">
      <c r="C171" s="132" t="s">
        <v>11</v>
      </c>
      <c r="D171" s="133"/>
      <c r="E171" s="5">
        <v>256</v>
      </c>
      <c r="F171" s="34"/>
      <c r="G171" s="71">
        <v>256</v>
      </c>
      <c r="H171" s="70">
        <v>256</v>
      </c>
      <c r="I171" s="71">
        <v>256</v>
      </c>
      <c r="J171" s="70">
        <v>256</v>
      </c>
      <c r="K171" s="12">
        <v>256</v>
      </c>
      <c r="L171" s="12">
        <v>256</v>
      </c>
      <c r="M171" s="3">
        <v>256</v>
      </c>
      <c r="N171" s="11">
        <v>256</v>
      </c>
    </row>
    <row r="172" spans="2:34" x14ac:dyDescent="0.25">
      <c r="C172" s="132" t="s">
        <v>2</v>
      </c>
      <c r="D172" s="133"/>
      <c r="E172" s="5">
        <v>19</v>
      </c>
      <c r="F172" s="34"/>
      <c r="G172" s="71">
        <v>20</v>
      </c>
      <c r="H172" s="70"/>
      <c r="I172" s="71">
        <v>20</v>
      </c>
      <c r="J172" s="70"/>
      <c r="K172" s="12">
        <v>31</v>
      </c>
      <c r="L172" s="12"/>
      <c r="M172" s="3">
        <v>43</v>
      </c>
      <c r="N172" s="11"/>
    </row>
    <row r="173" spans="2:34" x14ac:dyDescent="0.25">
      <c r="C173" s="2"/>
      <c r="D173" s="15" t="s">
        <v>9</v>
      </c>
      <c r="E173" s="9">
        <f t="shared" ref="E173" si="40">E172/E171</f>
        <v>7.421875E-2</v>
      </c>
      <c r="F173" s="38"/>
      <c r="G173" s="72">
        <f t="shared" ref="G173:J173" si="41">G172/G171</f>
        <v>7.8125E-2</v>
      </c>
      <c r="H173" s="73">
        <f t="shared" si="41"/>
        <v>0</v>
      </c>
      <c r="I173" s="72">
        <f t="shared" si="41"/>
        <v>7.8125E-2</v>
      </c>
      <c r="J173" s="73">
        <f t="shared" si="41"/>
        <v>0</v>
      </c>
      <c r="K173" s="14">
        <f>K172/K171</f>
        <v>0.12109375</v>
      </c>
      <c r="L173" s="14">
        <f>L172/L171</f>
        <v>0</v>
      </c>
      <c r="M173" s="8">
        <f t="shared" ref="M173:N173" si="42">M172/M171</f>
        <v>0.16796875</v>
      </c>
      <c r="N173" s="13">
        <f t="shared" si="42"/>
        <v>0</v>
      </c>
    </row>
    <row r="174" spans="2:34" x14ac:dyDescent="0.25">
      <c r="C174" s="132" t="s">
        <v>3</v>
      </c>
      <c r="D174" s="133"/>
      <c r="E174" s="5">
        <v>32</v>
      </c>
      <c r="F174" s="34"/>
      <c r="G174" s="71">
        <v>34</v>
      </c>
      <c r="H174" s="70"/>
      <c r="I174" s="71">
        <v>34</v>
      </c>
      <c r="J174" s="70"/>
      <c r="K174" s="12">
        <v>33</v>
      </c>
      <c r="L174" s="12"/>
      <c r="M174" s="3">
        <v>27</v>
      </c>
      <c r="N174" s="11"/>
    </row>
    <row r="175" spans="2:34" x14ac:dyDescent="0.25">
      <c r="C175" s="1"/>
      <c r="D175" s="15" t="s">
        <v>10</v>
      </c>
      <c r="E175" s="9">
        <f t="shared" ref="E175" si="43">E174/E171</f>
        <v>0.125</v>
      </c>
      <c r="F175" s="38"/>
      <c r="G175" s="72">
        <f t="shared" ref="G175:J175" si="44">G174/G171</f>
        <v>0.1328125</v>
      </c>
      <c r="H175" s="73">
        <f t="shared" si="44"/>
        <v>0</v>
      </c>
      <c r="I175" s="72">
        <f t="shared" si="44"/>
        <v>0.1328125</v>
      </c>
      <c r="J175" s="73">
        <f t="shared" si="44"/>
        <v>0</v>
      </c>
      <c r="K175" s="14">
        <f>K174/K171</f>
        <v>0.12890625</v>
      </c>
      <c r="L175" s="14">
        <f>L174/L171</f>
        <v>0</v>
      </c>
      <c r="M175" s="8">
        <f t="shared" ref="M175:N175" si="45">M174/M171</f>
        <v>0.10546875</v>
      </c>
      <c r="N175" s="13">
        <f t="shared" si="45"/>
        <v>0</v>
      </c>
    </row>
    <row r="176" spans="2:34" x14ac:dyDescent="0.25">
      <c r="C176" s="2"/>
      <c r="D176" s="25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</row>
    <row r="177" spans="3:20" x14ac:dyDescent="0.25">
      <c r="C177" s="132" t="s">
        <v>4</v>
      </c>
      <c r="D177" s="133"/>
      <c r="E177" s="5">
        <v>0.82</v>
      </c>
      <c r="F177" s="34"/>
      <c r="G177" s="71">
        <v>0.76</v>
      </c>
      <c r="H177" s="70"/>
      <c r="I177" s="71">
        <v>0.74</v>
      </c>
      <c r="J177" s="70"/>
      <c r="K177" s="12">
        <v>0.73</v>
      </c>
      <c r="L177" s="12"/>
      <c r="M177" s="3">
        <v>0.72</v>
      </c>
      <c r="N177" s="11"/>
    </row>
    <row r="178" spans="3:20" x14ac:dyDescent="0.25">
      <c r="C178" s="134" t="s">
        <v>38</v>
      </c>
      <c r="D178" s="139"/>
      <c r="E178" s="5">
        <v>0.82</v>
      </c>
      <c r="F178" s="34"/>
      <c r="G178" s="74">
        <v>0.81</v>
      </c>
      <c r="H178" s="70"/>
      <c r="I178" s="74">
        <v>0.81</v>
      </c>
      <c r="J178" s="70"/>
      <c r="K178" s="12">
        <v>0.78</v>
      </c>
      <c r="L178" s="12"/>
      <c r="M178" s="36">
        <v>0.75</v>
      </c>
      <c r="N178" s="37"/>
    </row>
    <row r="179" spans="3:20" x14ac:dyDescent="0.25">
      <c r="C179" s="132" t="s">
        <v>5</v>
      </c>
      <c r="D179" s="133"/>
      <c r="E179" s="5">
        <v>0.88</v>
      </c>
      <c r="F179" s="34"/>
      <c r="G179" s="71">
        <v>0.81</v>
      </c>
      <c r="H179" s="70"/>
      <c r="I179" s="71">
        <v>0.79</v>
      </c>
      <c r="J179" s="70"/>
      <c r="K179" s="12">
        <v>0.82</v>
      </c>
      <c r="L179" s="12"/>
      <c r="M179" s="3">
        <v>0.84</v>
      </c>
      <c r="N179" s="11"/>
    </row>
    <row r="180" spans="3:20" x14ac:dyDescent="0.25">
      <c r="C180" s="132" t="s">
        <v>6</v>
      </c>
      <c r="D180" s="133"/>
      <c r="E180" s="5">
        <v>0.93</v>
      </c>
      <c r="F180" s="34"/>
      <c r="G180" s="71">
        <v>0.85</v>
      </c>
      <c r="H180" s="70"/>
      <c r="I180" s="71">
        <v>0.84</v>
      </c>
      <c r="J180" s="70"/>
      <c r="K180" s="12">
        <v>0.83</v>
      </c>
      <c r="L180" s="12"/>
      <c r="M180" s="3">
        <v>0.79</v>
      </c>
      <c r="N180" s="11"/>
    </row>
    <row r="181" spans="3:20" x14ac:dyDescent="0.25">
      <c r="C181" s="132" t="s">
        <v>7</v>
      </c>
      <c r="D181" s="133"/>
      <c r="E181" s="5">
        <v>0.9</v>
      </c>
      <c r="F181" s="34"/>
      <c r="G181" s="71">
        <v>0.83</v>
      </c>
      <c r="H181" s="70"/>
      <c r="I181" s="71">
        <v>0.81</v>
      </c>
      <c r="J181" s="70"/>
      <c r="K181" s="12">
        <v>0.82</v>
      </c>
      <c r="L181" s="12"/>
      <c r="M181" s="3">
        <v>0.81</v>
      </c>
      <c r="N181" s="11"/>
    </row>
    <row r="182" spans="3:20" x14ac:dyDescent="0.25">
      <c r="C182" s="2"/>
      <c r="D182" s="25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</row>
    <row r="183" spans="3:20" x14ac:dyDescent="0.25">
      <c r="C183" s="134" t="s">
        <v>37</v>
      </c>
      <c r="D183" s="117"/>
      <c r="E183" s="5"/>
      <c r="F183" s="5"/>
      <c r="G183" s="75">
        <v>0.4</v>
      </c>
      <c r="H183" s="54"/>
      <c r="I183" s="75">
        <v>0.5</v>
      </c>
      <c r="J183" s="54"/>
      <c r="K183" s="49">
        <v>0.6</v>
      </c>
      <c r="L183" s="49"/>
      <c r="M183" s="5">
        <v>0.7</v>
      </c>
      <c r="N183" s="30"/>
    </row>
    <row r="184" spans="3:20" x14ac:dyDescent="0.25">
      <c r="C184" s="127" t="s">
        <v>36</v>
      </c>
      <c r="D184" s="27" t="s">
        <v>33</v>
      </c>
      <c r="E184" s="28"/>
      <c r="F184" s="3"/>
      <c r="G184" s="74">
        <v>0.82</v>
      </c>
      <c r="H184" s="70"/>
      <c r="I184" s="74">
        <v>0.8</v>
      </c>
      <c r="J184" s="70"/>
      <c r="K184" s="50">
        <v>0.81</v>
      </c>
      <c r="L184" s="50"/>
      <c r="M184" s="3">
        <v>0.8</v>
      </c>
      <c r="N184" s="3"/>
    </row>
    <row r="185" spans="3:20" x14ac:dyDescent="0.25">
      <c r="C185" s="127"/>
      <c r="D185" s="27" t="s">
        <v>34</v>
      </c>
      <c r="E185" s="28"/>
      <c r="F185" s="3"/>
      <c r="G185" s="74">
        <v>0.57999999999999996</v>
      </c>
      <c r="H185" s="70"/>
      <c r="I185" s="74">
        <v>0.56999999999999995</v>
      </c>
      <c r="J185" s="70"/>
      <c r="K185" s="50">
        <v>0.57999999999999996</v>
      </c>
      <c r="L185" s="50"/>
      <c r="M185" s="3">
        <v>0.56999999999999995</v>
      </c>
      <c r="N185" s="3"/>
    </row>
    <row r="186" spans="3:20" x14ac:dyDescent="0.25">
      <c r="C186" s="127" t="s">
        <v>35</v>
      </c>
      <c r="D186" s="27" t="s">
        <v>33</v>
      </c>
      <c r="E186" s="28"/>
      <c r="F186" s="3"/>
      <c r="G186" s="74">
        <v>0.74</v>
      </c>
      <c r="H186" s="70"/>
      <c r="I186" s="74">
        <v>0.73</v>
      </c>
      <c r="J186" s="70"/>
      <c r="K186" s="50">
        <v>0.74</v>
      </c>
      <c r="L186" s="50"/>
      <c r="M186" s="3">
        <v>0.73</v>
      </c>
      <c r="N186" s="3"/>
    </row>
    <row r="187" spans="3:20" x14ac:dyDescent="0.25">
      <c r="C187" s="127"/>
      <c r="D187" s="27" t="s">
        <v>34</v>
      </c>
      <c r="E187" s="28"/>
      <c r="F187" s="3"/>
      <c r="G187" s="74">
        <v>0.41</v>
      </c>
      <c r="H187" s="70"/>
      <c r="I187" s="74">
        <v>0.41</v>
      </c>
      <c r="J187" s="70"/>
      <c r="K187" s="50">
        <v>0.41</v>
      </c>
      <c r="L187" s="50"/>
      <c r="M187" s="3">
        <v>0.41</v>
      </c>
      <c r="N187" s="3"/>
    </row>
    <row r="188" spans="3:20" x14ac:dyDescent="0.25">
      <c r="C188" s="132" t="s">
        <v>15</v>
      </c>
      <c r="D188" s="133"/>
      <c r="E188" s="22"/>
      <c r="F188" s="19"/>
      <c r="G188" s="76">
        <v>0.92</v>
      </c>
      <c r="H188" s="55"/>
      <c r="I188" s="76">
        <v>0.92</v>
      </c>
      <c r="J188" s="55"/>
      <c r="K188" s="32">
        <v>0.92</v>
      </c>
      <c r="L188" s="32"/>
      <c r="M188" s="32">
        <v>0.92</v>
      </c>
      <c r="N188" s="33"/>
    </row>
    <row r="189" spans="3:20" x14ac:dyDescent="0.25">
      <c r="C189" s="136" t="s">
        <v>31</v>
      </c>
      <c r="D189" s="136"/>
      <c r="E189" s="28"/>
      <c r="F189" s="3"/>
      <c r="G189" s="74">
        <v>0.16</v>
      </c>
      <c r="H189" s="70"/>
      <c r="I189" s="74">
        <v>0.16</v>
      </c>
      <c r="J189" s="70"/>
      <c r="K189" s="12">
        <v>0.16</v>
      </c>
      <c r="L189" s="12"/>
      <c r="M189" s="34">
        <v>0.17</v>
      </c>
      <c r="N189" s="34"/>
    </row>
    <row r="190" spans="3:20" x14ac:dyDescent="0.25">
      <c r="C190" s="136" t="s">
        <v>32</v>
      </c>
      <c r="D190" s="136"/>
      <c r="E190" s="28"/>
      <c r="F190" s="3"/>
      <c r="G190" s="74">
        <v>8</v>
      </c>
      <c r="H190" s="70"/>
      <c r="I190" s="74">
        <v>8.1</v>
      </c>
      <c r="J190" s="70"/>
      <c r="K190" s="12">
        <v>7.8</v>
      </c>
      <c r="L190" s="12"/>
      <c r="M190" s="34">
        <v>7.8</v>
      </c>
      <c r="N190" s="34"/>
    </row>
    <row r="191" spans="3:20" x14ac:dyDescent="0.25">
      <c r="D191" s="56"/>
      <c r="F191" s="56"/>
      <c r="G191" s="82"/>
      <c r="H191" s="82"/>
      <c r="I191" s="82"/>
      <c r="J191" s="82"/>
      <c r="K191" s="56"/>
      <c r="L191" s="56"/>
      <c r="M191" s="83"/>
      <c r="N191" s="83"/>
      <c r="O191" s="83"/>
      <c r="P191" s="83"/>
      <c r="Q191" s="83"/>
      <c r="R191" s="83"/>
      <c r="S191" s="83"/>
      <c r="T191" s="83"/>
    </row>
  </sheetData>
  <mergeCells count="234">
    <mergeCell ref="C183:D183"/>
    <mergeCell ref="C184:C185"/>
    <mergeCell ref="C186:C187"/>
    <mergeCell ref="C188:D188"/>
    <mergeCell ref="C189:D189"/>
    <mergeCell ref="C190:D190"/>
    <mergeCell ref="C177:D177"/>
    <mergeCell ref="C178:D178"/>
    <mergeCell ref="C179:D179"/>
    <mergeCell ref="C21:C22"/>
    <mergeCell ref="C23:C24"/>
    <mergeCell ref="AD141:AG141"/>
    <mergeCell ref="AA142:AB142"/>
    <mergeCell ref="AC142:AD142"/>
    <mergeCell ref="AE142:AF142"/>
    <mergeCell ref="AG142:AH142"/>
    <mergeCell ref="C180:D180"/>
    <mergeCell ref="C181:D181"/>
    <mergeCell ref="G169:H169"/>
    <mergeCell ref="I169:J169"/>
    <mergeCell ref="W31:X31"/>
    <mergeCell ref="J141:K141"/>
    <mergeCell ref="R141:S141"/>
    <mergeCell ref="X141:AA141"/>
    <mergeCell ref="K169:L169"/>
    <mergeCell ref="M169:N169"/>
    <mergeCell ref="Q87:R87"/>
    <mergeCell ref="S87:T87"/>
    <mergeCell ref="U87:V87"/>
    <mergeCell ref="W87:X87"/>
    <mergeCell ref="O86:P86"/>
    <mergeCell ref="C171:D171"/>
    <mergeCell ref="C172:D172"/>
    <mergeCell ref="C174:D174"/>
    <mergeCell ref="C80:D80"/>
    <mergeCell ref="C67:D67"/>
    <mergeCell ref="B3:C3"/>
    <mergeCell ref="B4:C4"/>
    <mergeCell ref="C15:D15"/>
    <mergeCell ref="C68:D68"/>
    <mergeCell ref="C72:D72"/>
    <mergeCell ref="C73:D73"/>
    <mergeCell ref="C74:C75"/>
    <mergeCell ref="C76:C77"/>
    <mergeCell ref="C78:D78"/>
    <mergeCell ref="B56:C56"/>
    <mergeCell ref="B57:C57"/>
    <mergeCell ref="C9:D9"/>
    <mergeCell ref="C11:D11"/>
    <mergeCell ref="C48:C49"/>
    <mergeCell ref="C50:C51"/>
    <mergeCell ref="C46:D46"/>
    <mergeCell ref="C47:D47"/>
    <mergeCell ref="C35:D35"/>
    <mergeCell ref="C36:D36"/>
    <mergeCell ref="Y114:Z114"/>
    <mergeCell ref="C115:D115"/>
    <mergeCell ref="C40:Z40"/>
    <mergeCell ref="C41:D41"/>
    <mergeCell ref="Q114:R114"/>
    <mergeCell ref="S114:T114"/>
    <mergeCell ref="U114:V114"/>
    <mergeCell ref="W114:X114"/>
    <mergeCell ref="C108:D108"/>
    <mergeCell ref="G87:H87"/>
    <mergeCell ref="F85:G85"/>
    <mergeCell ref="C104:C105"/>
    <mergeCell ref="M113:N113"/>
    <mergeCell ref="G86:H86"/>
    <mergeCell ref="C69:D69"/>
    <mergeCell ref="C64:D64"/>
    <mergeCell ref="C66:Z66"/>
    <mergeCell ref="C70:D70"/>
    <mergeCell ref="B166:C166"/>
    <mergeCell ref="E166:F166"/>
    <mergeCell ref="B167:C167"/>
    <mergeCell ref="C169:D169"/>
    <mergeCell ref="E169:F170"/>
    <mergeCell ref="C147:D147"/>
    <mergeCell ref="C149:Z149"/>
    <mergeCell ref="C150:D150"/>
    <mergeCell ref="C152:D152"/>
    <mergeCell ref="C162:D162"/>
    <mergeCell ref="C163:D163"/>
    <mergeCell ref="C154:D154"/>
    <mergeCell ref="C155:Z155"/>
    <mergeCell ref="C161:D161"/>
    <mergeCell ref="C153:D153"/>
    <mergeCell ref="C156:D156"/>
    <mergeCell ref="C157:C158"/>
    <mergeCell ref="C159:C160"/>
    <mergeCell ref="C170:D170"/>
    <mergeCell ref="K142:L142"/>
    <mergeCell ref="C71:D71"/>
    <mergeCell ref="C101:D101"/>
    <mergeCell ref="Y142:Z142"/>
    <mergeCell ref="C143:D143"/>
    <mergeCell ref="C144:D144"/>
    <mergeCell ref="C145:D145"/>
    <mergeCell ref="M142:N142"/>
    <mergeCell ref="O142:P142"/>
    <mergeCell ref="Q142:R142"/>
    <mergeCell ref="S142:T142"/>
    <mergeCell ref="U142:V142"/>
    <mergeCell ref="C142:D142"/>
    <mergeCell ref="E142:F143"/>
    <mergeCell ref="G142:H142"/>
    <mergeCell ref="I142:J142"/>
    <mergeCell ref="W142:X142"/>
    <mergeCell ref="E139:F139"/>
    <mergeCell ref="C125:D125"/>
    <mergeCell ref="C126:D126"/>
    <mergeCell ref="C127:Z127"/>
    <mergeCell ref="B111:C111"/>
    <mergeCell ref="B112:C112"/>
    <mergeCell ref="C123:D123"/>
    <mergeCell ref="C27:D27"/>
    <mergeCell ref="C79:D79"/>
    <mergeCell ref="K33:L33"/>
    <mergeCell ref="W59:X59"/>
    <mergeCell ref="S33:T33"/>
    <mergeCell ref="U33:V33"/>
    <mergeCell ref="W33:X33"/>
    <mergeCell ref="V32:Y32"/>
    <mergeCell ref="E32:F32"/>
    <mergeCell ref="B31:C31"/>
    <mergeCell ref="B30:C30"/>
    <mergeCell ref="E33:F34"/>
    <mergeCell ref="C45:D45"/>
    <mergeCell ref="C42:D42"/>
    <mergeCell ref="C52:D52"/>
    <mergeCell ref="C44:D44"/>
    <mergeCell ref="G33:H33"/>
    <mergeCell ref="I33:J33"/>
    <mergeCell ref="Y59:Z59"/>
    <mergeCell ref="C60:D60"/>
    <mergeCell ref="C61:D61"/>
    <mergeCell ref="C62:D62"/>
    <mergeCell ref="W6:X6"/>
    <mergeCell ref="Q6:R6"/>
    <mergeCell ref="S6:T6"/>
    <mergeCell ref="Q33:R33"/>
    <mergeCell ref="H32:K32"/>
    <mergeCell ref="P32:S32"/>
    <mergeCell ref="C43:D43"/>
    <mergeCell ref="I59:J59"/>
    <mergeCell ref="K59:L59"/>
    <mergeCell ref="M59:N59"/>
    <mergeCell ref="C54:D54"/>
    <mergeCell ref="C53:D53"/>
    <mergeCell ref="C59:D59"/>
    <mergeCell ref="O59:P59"/>
    <mergeCell ref="Q59:R59"/>
    <mergeCell ref="S59:T59"/>
    <mergeCell ref="E59:H59"/>
    <mergeCell ref="C19:D19"/>
    <mergeCell ref="C20:D20"/>
    <mergeCell ref="C38:D38"/>
    <mergeCell ref="Q31:R31"/>
    <mergeCell ref="E6:F7"/>
    <mergeCell ref="C25:D25"/>
    <mergeCell ref="C26:D26"/>
    <mergeCell ref="I87:J87"/>
    <mergeCell ref="K87:L87"/>
    <mergeCell ref="M87:N87"/>
    <mergeCell ref="O87:P87"/>
    <mergeCell ref="Y6:Z6"/>
    <mergeCell ref="C34:D34"/>
    <mergeCell ref="G6:H6"/>
    <mergeCell ref="I6:J6"/>
    <mergeCell ref="K6:L6"/>
    <mergeCell ref="C14:D14"/>
    <mergeCell ref="C33:D33"/>
    <mergeCell ref="C16:D16"/>
    <mergeCell ref="C17:D17"/>
    <mergeCell ref="C18:D18"/>
    <mergeCell ref="O33:P33"/>
    <mergeCell ref="C7:D7"/>
    <mergeCell ref="C6:D6"/>
    <mergeCell ref="C13:Z13"/>
    <mergeCell ref="C8:D8"/>
    <mergeCell ref="O6:P6"/>
    <mergeCell ref="Y33:Z33"/>
    <mergeCell ref="M33:N33"/>
    <mergeCell ref="M6:N6"/>
    <mergeCell ref="U6:V6"/>
    <mergeCell ref="C135:D135"/>
    <mergeCell ref="C114:D114"/>
    <mergeCell ref="C151:D151"/>
    <mergeCell ref="B139:C139"/>
    <mergeCell ref="B140:C140"/>
    <mergeCell ref="C136:D136"/>
    <mergeCell ref="U59:V59"/>
    <mergeCell ref="C106:D106"/>
    <mergeCell ref="C107:D107"/>
    <mergeCell ref="B84:C84"/>
    <mergeCell ref="B85:C85"/>
    <mergeCell ref="C100:Z100"/>
    <mergeCell ref="C94:Z94"/>
    <mergeCell ref="C95:D95"/>
    <mergeCell ref="C97:D97"/>
    <mergeCell ref="C98:D98"/>
    <mergeCell ref="C99:D99"/>
    <mergeCell ref="C88:D88"/>
    <mergeCell ref="C89:D89"/>
    <mergeCell ref="C90:D90"/>
    <mergeCell ref="C92:D92"/>
    <mergeCell ref="C96:D96"/>
    <mergeCell ref="C87:D87"/>
    <mergeCell ref="E87:F88"/>
    <mergeCell ref="E176:N176"/>
    <mergeCell ref="E182:N182"/>
    <mergeCell ref="P113:Q113"/>
    <mergeCell ref="H113:I113"/>
    <mergeCell ref="E114:F115"/>
    <mergeCell ref="G114:H114"/>
    <mergeCell ref="O110:P110"/>
    <mergeCell ref="Y87:Z87"/>
    <mergeCell ref="C102:C103"/>
    <mergeCell ref="I114:J114"/>
    <mergeCell ref="K114:L114"/>
    <mergeCell ref="M114:N114"/>
    <mergeCell ref="O114:P114"/>
    <mergeCell ref="C124:D124"/>
    <mergeCell ref="C116:D116"/>
    <mergeCell ref="C117:D117"/>
    <mergeCell ref="C119:D119"/>
    <mergeCell ref="C121:Z121"/>
    <mergeCell ref="C122:D122"/>
    <mergeCell ref="C128:D128"/>
    <mergeCell ref="C129:C130"/>
    <mergeCell ref="C131:C132"/>
    <mergeCell ref="C133:D133"/>
    <mergeCell ref="C134:D134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Ahmed.Abdelbasset</dc:creator>
  <cp:lastModifiedBy>ahmed abdelbaset</cp:lastModifiedBy>
  <dcterms:created xsi:type="dcterms:W3CDTF">2015-06-05T18:17:20Z</dcterms:created>
  <dcterms:modified xsi:type="dcterms:W3CDTF">2025-12-02T17:01:54Z</dcterms:modified>
</cp:coreProperties>
</file>