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F:\PhD Thesis Work\TrainResults\MASK R-CNN Comparing\"/>
    </mc:Choice>
  </mc:AlternateContent>
  <xr:revisionPtr revIDLastSave="0" documentId="13_ncr:1_{E9661E3E-A8CE-47D4-9789-DE700C4CEF8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5" i="1" l="1"/>
  <c r="L15" i="1"/>
  <c r="K15" i="1"/>
  <c r="J15" i="1"/>
  <c r="I15" i="1"/>
  <c r="H15" i="1"/>
  <c r="F15" i="1"/>
  <c r="E15" i="1"/>
  <c r="L13" i="1"/>
  <c r="K13" i="1"/>
  <c r="J13" i="1"/>
  <c r="I13" i="1"/>
  <c r="H13" i="1"/>
  <c r="G13" i="1"/>
  <c r="F13" i="1"/>
  <c r="E13" i="1"/>
</calcChain>
</file>

<file path=xl/sharedStrings.xml><?xml version="1.0" encoding="utf-8"?>
<sst xmlns="http://schemas.openxmlformats.org/spreadsheetml/2006/main" count="35" uniqueCount="27">
  <si>
    <t>2 C</t>
  </si>
  <si>
    <t>3 C</t>
  </si>
  <si>
    <t>FN</t>
  </si>
  <si>
    <t>FP</t>
  </si>
  <si>
    <t>Acc</t>
  </si>
  <si>
    <t>Prec</t>
  </si>
  <si>
    <t>Recall</t>
  </si>
  <si>
    <t>F1-Score</t>
  </si>
  <si>
    <t>Dataset</t>
  </si>
  <si>
    <t>FN %</t>
  </si>
  <si>
    <t>FP %</t>
  </si>
  <si>
    <t>Total Instances</t>
  </si>
  <si>
    <t>DS image size 320 / Tr size 320</t>
  </si>
  <si>
    <t>Mask Det. Th.</t>
  </si>
  <si>
    <t>Train Acc</t>
  </si>
  <si>
    <t>Train Time (Hrs)</t>
  </si>
  <si>
    <t># of Train epochs</t>
  </si>
  <si>
    <t>mAP .5</t>
  </si>
  <si>
    <t>mAP .5:.95</t>
  </si>
  <si>
    <t>1st stage</t>
  </si>
  <si>
    <t>2nd stage</t>
  </si>
  <si>
    <t>lr</t>
  </si>
  <si>
    <t>mometum</t>
  </si>
  <si>
    <t>weight decay</t>
  </si>
  <si>
    <t>step</t>
  </si>
  <si>
    <t>gamma</t>
  </si>
  <si>
    <t>Model Parameter values: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</si>
</sst>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u/>
      <sz val="12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5">
    <xf numFmtId="0" fontId="0" fillId="0" borderId="0" xfId="0"/>
    <xf numFmtId="0" fontId="0" fillId="4" borderId="2" xfId="0" applyFill="1" applyBorder="1" applyAlignment="1">
      <alignment horizontal="center"/>
    </xf>
    <xf numFmtId="0" fontId="0" fillId="4" borderId="2" xfId="0" applyFill="1" applyBorder="1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9" fontId="0" fillId="0" borderId="1" xfId="1" applyFont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9" fontId="0" fillId="0" borderId="4" xfId="1" applyFont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2" fillId="0" borderId="0" xfId="0" applyFont="1"/>
    <xf numFmtId="0" fontId="0" fillId="6" borderId="1" xfId="0" applyFill="1" applyBorder="1"/>
    <xf numFmtId="0" fontId="2" fillId="0" borderId="0" xfId="0" applyFont="1" applyAlignment="1">
      <alignment horizontal="right"/>
    </xf>
    <xf numFmtId="0" fontId="0" fillId="6" borderId="1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3" borderId="5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3" fillId="0" borderId="0" xfId="0" applyFont="1"/>
    <xf numFmtId="0" fontId="2" fillId="6" borderId="0" xfId="0" applyFont="1" applyFill="1"/>
    <xf numFmtId="0" fontId="2" fillId="6" borderId="0" xfId="0" applyFont="1" applyFill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"/>
  <sheetViews>
    <sheetView tabSelected="1" workbookViewId="0">
      <pane xSplit="4" ySplit="2" topLeftCell="E3" activePane="bottomRight" state="frozen"/>
      <selection pane="topRight" activeCell="E1" sqref="E1"/>
      <selection pane="bottomLeft" activeCell="A2" sqref="A2"/>
      <selection pane="bottomRight" activeCell="I4" sqref="I4"/>
    </sheetView>
  </sheetViews>
  <sheetFormatPr defaultRowHeight="15" x14ac:dyDescent="0.25"/>
  <cols>
    <col min="1" max="1" width="13.5703125" customWidth="1"/>
    <col min="4" max="4" width="10.28515625" bestFit="1" customWidth="1"/>
  </cols>
  <sheetData>
    <row r="1" spans="1:12" ht="15.75" x14ac:dyDescent="0.25">
      <c r="B1" s="22" t="s">
        <v>26</v>
      </c>
    </row>
    <row r="2" spans="1:12" x14ac:dyDescent="0.25">
      <c r="A2" s="23" t="s">
        <v>21</v>
      </c>
      <c r="B2" s="10">
        <v>5.0000000000000001E-3</v>
      </c>
    </row>
    <row r="3" spans="1:12" x14ac:dyDescent="0.25">
      <c r="A3" s="23" t="s">
        <v>22</v>
      </c>
      <c r="B3" s="10">
        <v>0.9</v>
      </c>
      <c r="C3" s="23" t="s">
        <v>25</v>
      </c>
      <c r="D3" s="10">
        <v>0.1</v>
      </c>
    </row>
    <row r="4" spans="1:12" x14ac:dyDescent="0.25">
      <c r="A4" s="23" t="s">
        <v>23</v>
      </c>
      <c r="B4" s="10">
        <v>5.0000000000000001E-4</v>
      </c>
      <c r="C4" s="24" t="s">
        <v>24</v>
      </c>
      <c r="D4" s="12">
        <v>3</v>
      </c>
    </row>
    <row r="7" spans="1:12" x14ac:dyDescent="0.25">
      <c r="B7" t="s">
        <v>12</v>
      </c>
      <c r="C7" s="10"/>
      <c r="D7" s="10"/>
    </row>
    <row r="9" spans="1:12" x14ac:dyDescent="0.25">
      <c r="C9" s="14" t="s">
        <v>13</v>
      </c>
      <c r="D9" s="15"/>
      <c r="E9" s="16">
        <v>0.4</v>
      </c>
      <c r="F9" s="16"/>
      <c r="G9" s="16">
        <v>0.5</v>
      </c>
      <c r="H9" s="16"/>
      <c r="I9" s="16">
        <v>0.6</v>
      </c>
      <c r="J9" s="16"/>
      <c r="K9" s="16">
        <v>0.7</v>
      </c>
      <c r="L9" s="16"/>
    </row>
    <row r="10" spans="1:12" x14ac:dyDescent="0.25">
      <c r="C10" s="14" t="s">
        <v>8</v>
      </c>
      <c r="D10" s="15"/>
      <c r="E10" s="4" t="s">
        <v>0</v>
      </c>
      <c r="F10" s="6" t="s">
        <v>1</v>
      </c>
      <c r="G10" s="4" t="s">
        <v>0</v>
      </c>
      <c r="H10" s="6" t="s">
        <v>1</v>
      </c>
      <c r="I10" s="4" t="s">
        <v>0</v>
      </c>
      <c r="J10" s="6" t="s">
        <v>1</v>
      </c>
      <c r="K10" s="4" t="s">
        <v>0</v>
      </c>
      <c r="L10" s="6" t="s">
        <v>1</v>
      </c>
    </row>
    <row r="11" spans="1:12" x14ac:dyDescent="0.25">
      <c r="C11" s="17" t="s">
        <v>11</v>
      </c>
      <c r="D11" s="18"/>
      <c r="E11" s="3">
        <v>256</v>
      </c>
      <c r="F11" s="7">
        <v>256</v>
      </c>
      <c r="G11" s="3">
        <v>256</v>
      </c>
      <c r="H11" s="7">
        <v>256</v>
      </c>
      <c r="I11" s="3">
        <v>256</v>
      </c>
      <c r="J11" s="7">
        <v>256</v>
      </c>
      <c r="K11" s="3">
        <v>256</v>
      </c>
      <c r="L11" s="7">
        <v>256</v>
      </c>
    </row>
    <row r="12" spans="1:12" x14ac:dyDescent="0.25">
      <c r="C12" s="17" t="s">
        <v>2</v>
      </c>
      <c r="D12" s="18"/>
      <c r="E12" s="3">
        <v>19</v>
      </c>
      <c r="F12" s="7">
        <v>24</v>
      </c>
      <c r="G12" s="3">
        <v>27</v>
      </c>
      <c r="H12" s="7">
        <v>28</v>
      </c>
      <c r="I12" s="3">
        <v>32</v>
      </c>
      <c r="J12" s="7">
        <v>84</v>
      </c>
      <c r="K12" s="3">
        <v>43</v>
      </c>
      <c r="L12" s="7">
        <v>67</v>
      </c>
    </row>
    <row r="13" spans="1:12" x14ac:dyDescent="0.25">
      <c r="C13" s="2"/>
      <c r="D13" s="9" t="s">
        <v>9</v>
      </c>
      <c r="E13" s="5">
        <f t="shared" ref="E13:L13" si="0">E12/E11</f>
        <v>7.421875E-2</v>
      </c>
      <c r="F13" s="8">
        <f t="shared" si="0"/>
        <v>9.375E-2</v>
      </c>
      <c r="G13" s="5">
        <f t="shared" si="0"/>
        <v>0.10546875</v>
      </c>
      <c r="H13" s="8">
        <f t="shared" si="0"/>
        <v>0.109375</v>
      </c>
      <c r="I13" s="5">
        <f t="shared" si="0"/>
        <v>0.125</v>
      </c>
      <c r="J13" s="8">
        <f t="shared" si="0"/>
        <v>0.328125</v>
      </c>
      <c r="K13" s="5">
        <f t="shared" si="0"/>
        <v>0.16796875</v>
      </c>
      <c r="L13" s="8">
        <f t="shared" si="0"/>
        <v>0.26171875</v>
      </c>
    </row>
    <row r="14" spans="1:12" x14ac:dyDescent="0.25">
      <c r="C14" s="17" t="s">
        <v>3</v>
      </c>
      <c r="D14" s="18"/>
      <c r="E14" s="3">
        <v>125</v>
      </c>
      <c r="F14" s="7">
        <v>127</v>
      </c>
      <c r="G14" s="3">
        <v>85</v>
      </c>
      <c r="H14" s="7">
        <v>74</v>
      </c>
      <c r="I14" s="3">
        <v>50</v>
      </c>
      <c r="J14" s="7">
        <v>40</v>
      </c>
      <c r="K14" s="3">
        <v>33</v>
      </c>
      <c r="L14" s="7">
        <v>21</v>
      </c>
    </row>
    <row r="15" spans="1:12" x14ac:dyDescent="0.25">
      <c r="C15" s="1"/>
      <c r="D15" s="9" t="s">
        <v>10</v>
      </c>
      <c r="E15" s="5">
        <f t="shared" ref="E15:L15" si="1">E14/E11</f>
        <v>0.48828125</v>
      </c>
      <c r="F15" s="8">
        <f t="shared" si="1"/>
        <v>0.49609375</v>
      </c>
      <c r="G15" s="5">
        <f t="shared" si="1"/>
        <v>0.33203125</v>
      </c>
      <c r="H15" s="8">
        <f t="shared" si="1"/>
        <v>0.2890625</v>
      </c>
      <c r="I15" s="5">
        <f t="shared" si="1"/>
        <v>0.1953125</v>
      </c>
      <c r="J15" s="8">
        <f t="shared" si="1"/>
        <v>0.15625</v>
      </c>
      <c r="K15" s="5">
        <f t="shared" si="1"/>
        <v>0.12890625</v>
      </c>
      <c r="L15" s="8">
        <f t="shared" si="1"/>
        <v>8.203125E-2</v>
      </c>
    </row>
    <row r="16" spans="1:12" x14ac:dyDescent="0.25">
      <c r="C16" s="19"/>
      <c r="D16" s="20"/>
      <c r="E16" s="20"/>
      <c r="F16" s="20"/>
      <c r="G16" s="20"/>
      <c r="H16" s="20"/>
      <c r="I16" s="20"/>
      <c r="J16" s="20"/>
      <c r="K16" s="20"/>
      <c r="L16" s="20"/>
    </row>
    <row r="17" spans="3:12" x14ac:dyDescent="0.25">
      <c r="C17" s="17" t="s">
        <v>4</v>
      </c>
      <c r="D17" s="18"/>
      <c r="E17" s="3">
        <v>0.9</v>
      </c>
      <c r="F17" s="7">
        <v>0.78</v>
      </c>
      <c r="G17" s="3">
        <v>0.86</v>
      </c>
      <c r="H17" s="7">
        <v>0.75</v>
      </c>
      <c r="I17" s="3">
        <v>0.83</v>
      </c>
      <c r="J17" s="7">
        <v>0.68</v>
      </c>
      <c r="K17" s="3">
        <v>0.79</v>
      </c>
      <c r="L17" s="7">
        <v>0.6</v>
      </c>
    </row>
    <row r="18" spans="3:12" x14ac:dyDescent="0.25">
      <c r="C18" s="17" t="s">
        <v>5</v>
      </c>
      <c r="D18" s="18"/>
      <c r="E18" s="3">
        <v>0.64</v>
      </c>
      <c r="F18" s="7">
        <v>0.55000000000000004</v>
      </c>
      <c r="G18" s="3">
        <v>0.7</v>
      </c>
      <c r="H18" s="7">
        <v>0.62</v>
      </c>
      <c r="I18" s="3">
        <v>0.78</v>
      </c>
      <c r="J18" s="7">
        <v>0.69</v>
      </c>
      <c r="K18" s="3">
        <v>0.82</v>
      </c>
      <c r="L18" s="7">
        <v>0.72</v>
      </c>
    </row>
    <row r="19" spans="3:12" x14ac:dyDescent="0.25">
      <c r="C19" s="17" t="s">
        <v>6</v>
      </c>
      <c r="D19" s="18"/>
      <c r="E19" s="3">
        <v>0.9</v>
      </c>
      <c r="F19" s="7">
        <v>0.77</v>
      </c>
      <c r="G19" s="3">
        <v>0.86</v>
      </c>
      <c r="H19" s="7">
        <v>0.73</v>
      </c>
      <c r="I19" s="3">
        <v>0.83</v>
      </c>
      <c r="J19" s="7">
        <v>0.67</v>
      </c>
      <c r="K19" s="3">
        <v>0.78900000000000003</v>
      </c>
      <c r="L19" s="7">
        <v>0.6</v>
      </c>
    </row>
    <row r="20" spans="3:12" x14ac:dyDescent="0.25">
      <c r="C20" s="17" t="s">
        <v>7</v>
      </c>
      <c r="D20" s="18"/>
      <c r="E20" s="3">
        <v>0.75</v>
      </c>
      <c r="F20" s="7">
        <v>0.64</v>
      </c>
      <c r="G20" s="3">
        <v>0.77</v>
      </c>
      <c r="H20" s="7">
        <v>0.68</v>
      </c>
      <c r="I20" s="3">
        <v>0.8</v>
      </c>
      <c r="J20" s="7">
        <v>0.68</v>
      </c>
      <c r="K20" s="3">
        <v>0.8</v>
      </c>
      <c r="L20" s="7">
        <v>0.65</v>
      </c>
    </row>
    <row r="21" spans="3:12" x14ac:dyDescent="0.25">
      <c r="C21" s="19"/>
      <c r="D21" s="20"/>
      <c r="E21" s="20"/>
      <c r="F21" s="20"/>
      <c r="G21" s="20"/>
      <c r="H21" s="20"/>
      <c r="I21" s="20"/>
      <c r="J21" s="20"/>
      <c r="K21" s="20"/>
      <c r="L21" s="20"/>
    </row>
    <row r="22" spans="3:12" x14ac:dyDescent="0.25">
      <c r="C22" s="17" t="s">
        <v>15</v>
      </c>
      <c r="D22" s="18"/>
      <c r="E22" s="3">
        <v>10.6</v>
      </c>
      <c r="F22" s="7">
        <v>10.6</v>
      </c>
      <c r="G22" s="3">
        <v>10.6</v>
      </c>
      <c r="H22" s="7">
        <v>10.6</v>
      </c>
      <c r="I22" s="3">
        <v>10.6</v>
      </c>
      <c r="J22" s="7">
        <v>10</v>
      </c>
      <c r="K22" s="3">
        <v>10.6</v>
      </c>
      <c r="L22" s="7">
        <v>10</v>
      </c>
    </row>
    <row r="23" spans="3:12" x14ac:dyDescent="0.25">
      <c r="C23" s="19" t="s">
        <v>16</v>
      </c>
      <c r="D23" s="21"/>
      <c r="E23" s="3">
        <v>100</v>
      </c>
      <c r="F23" s="7">
        <v>100</v>
      </c>
      <c r="G23" s="3">
        <v>100</v>
      </c>
      <c r="H23" s="7">
        <v>100</v>
      </c>
      <c r="I23" s="3">
        <v>100</v>
      </c>
      <c r="J23" s="7">
        <v>100</v>
      </c>
      <c r="K23" s="3">
        <v>100</v>
      </c>
      <c r="L23" s="7">
        <v>100</v>
      </c>
    </row>
    <row r="24" spans="3:12" x14ac:dyDescent="0.25">
      <c r="C24" s="17" t="s">
        <v>14</v>
      </c>
      <c r="D24" s="18"/>
      <c r="E24" s="3">
        <v>0.95</v>
      </c>
      <c r="F24" s="7">
        <v>0.91</v>
      </c>
      <c r="G24" s="3">
        <v>0.92</v>
      </c>
      <c r="H24" s="7">
        <v>0.88</v>
      </c>
      <c r="I24" s="3">
        <v>0.9</v>
      </c>
      <c r="J24" s="7">
        <v>0.83</v>
      </c>
      <c r="K24" s="3">
        <v>0.87</v>
      </c>
      <c r="L24" s="7">
        <v>0.76</v>
      </c>
    </row>
    <row r="25" spans="3:12" x14ac:dyDescent="0.25">
      <c r="C25" s="13" t="s">
        <v>19</v>
      </c>
      <c r="D25" s="11" t="s">
        <v>17</v>
      </c>
      <c r="E25" s="3">
        <v>0.69</v>
      </c>
      <c r="F25" s="7">
        <v>0.59</v>
      </c>
      <c r="G25" s="3">
        <v>0.7</v>
      </c>
      <c r="H25" s="7">
        <v>0.61</v>
      </c>
      <c r="I25" s="3">
        <v>0.72</v>
      </c>
      <c r="J25" s="7">
        <v>0.61</v>
      </c>
      <c r="K25" s="3">
        <v>0.72</v>
      </c>
      <c r="L25" s="7">
        <v>0.59</v>
      </c>
    </row>
    <row r="26" spans="3:12" x14ac:dyDescent="0.25">
      <c r="C26" s="13"/>
      <c r="D26" s="11" t="s">
        <v>18</v>
      </c>
      <c r="E26" s="3">
        <v>0.38</v>
      </c>
      <c r="F26" s="7">
        <v>0.33</v>
      </c>
      <c r="G26" s="3">
        <v>0.39</v>
      </c>
      <c r="H26" s="7">
        <v>0.34</v>
      </c>
      <c r="I26" s="3">
        <v>0.4</v>
      </c>
      <c r="J26" s="7">
        <v>0.34</v>
      </c>
      <c r="K26" s="3">
        <v>0.4</v>
      </c>
      <c r="L26" s="7">
        <v>0.33</v>
      </c>
    </row>
    <row r="27" spans="3:12" x14ac:dyDescent="0.25">
      <c r="C27" s="13" t="s">
        <v>20</v>
      </c>
      <c r="D27" s="11" t="s">
        <v>17</v>
      </c>
      <c r="E27" s="3">
        <v>0.76</v>
      </c>
      <c r="F27" s="7">
        <v>0.65</v>
      </c>
      <c r="G27" s="3">
        <v>0.77</v>
      </c>
      <c r="H27" s="7">
        <v>0.67</v>
      </c>
      <c r="I27" s="3">
        <v>0.79</v>
      </c>
      <c r="J27" s="7">
        <v>0.68</v>
      </c>
      <c r="K27" s="3">
        <v>0.79</v>
      </c>
      <c r="L27" s="7">
        <v>0.65</v>
      </c>
    </row>
    <row r="28" spans="3:12" x14ac:dyDescent="0.25">
      <c r="C28" s="13"/>
      <c r="D28" s="11" t="s">
        <v>18</v>
      </c>
      <c r="E28" s="3">
        <v>0.54</v>
      </c>
      <c r="F28" s="7">
        <v>0.46</v>
      </c>
      <c r="G28" s="3">
        <v>0.54</v>
      </c>
      <c r="H28" s="7">
        <v>0.47</v>
      </c>
      <c r="I28" s="3">
        <v>0.56000000000000005</v>
      </c>
      <c r="J28" s="7">
        <v>0.48</v>
      </c>
      <c r="K28" s="3">
        <v>0.56000000000000005</v>
      </c>
      <c r="L28" s="7">
        <v>0.46</v>
      </c>
    </row>
  </sheetData>
  <mergeCells count="20">
    <mergeCell ref="C24:D24"/>
    <mergeCell ref="I9:J9"/>
    <mergeCell ref="K9:L9"/>
    <mergeCell ref="C22:D22"/>
    <mergeCell ref="C23:D23"/>
    <mergeCell ref="C25:C26"/>
    <mergeCell ref="C27:C28"/>
    <mergeCell ref="C9:D9"/>
    <mergeCell ref="E9:F9"/>
    <mergeCell ref="G9:H9"/>
    <mergeCell ref="C10:D10"/>
    <mergeCell ref="C11:D11"/>
    <mergeCell ref="C12:D12"/>
    <mergeCell ref="C14:D14"/>
    <mergeCell ref="C16:L16"/>
    <mergeCell ref="C17:D17"/>
    <mergeCell ref="C18:D18"/>
    <mergeCell ref="C19:D19"/>
    <mergeCell ref="C20:D20"/>
    <mergeCell ref="C21:L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Ahmed.Abdelbasset</dc:creator>
  <cp:lastModifiedBy>ahmed abdelbaset</cp:lastModifiedBy>
  <dcterms:created xsi:type="dcterms:W3CDTF">2015-06-05T18:17:20Z</dcterms:created>
  <dcterms:modified xsi:type="dcterms:W3CDTF">2025-12-02T16:43:00Z</dcterms:modified>
</cp:coreProperties>
</file>