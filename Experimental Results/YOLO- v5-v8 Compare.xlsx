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hD Thesis Work\TrainResults\YOLO Comparing\"/>
    </mc:Choice>
  </mc:AlternateContent>
  <xr:revisionPtr revIDLastSave="0" documentId="13_ncr:1_{9E747B6F-A2AA-4F2D-8885-B2578527AB10}" xr6:coauthVersionLast="47" xr6:coauthVersionMax="47" xr10:uidLastSave="{00000000-0000-0000-0000-000000000000}"/>
  <bookViews>
    <workbookView xWindow="-120" yWindow="-120" windowWidth="29040" windowHeight="15720" tabRatio="6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28" i="1" l="1"/>
  <c r="BN28" i="1"/>
  <c r="BM28" i="1"/>
  <c r="BL28" i="1"/>
  <c r="BK28" i="1"/>
  <c r="BJ28" i="1"/>
  <c r="BO26" i="1"/>
  <c r="BN26" i="1"/>
  <c r="BM26" i="1"/>
  <c r="BL26" i="1"/>
  <c r="BK26" i="1"/>
  <c r="BJ26" i="1"/>
  <c r="BO54" i="1"/>
  <c r="BN54" i="1"/>
  <c r="BM54" i="1"/>
  <c r="BL54" i="1"/>
  <c r="BK54" i="1"/>
  <c r="BJ54" i="1"/>
  <c r="BO52" i="1"/>
  <c r="BN52" i="1"/>
  <c r="BM52" i="1"/>
  <c r="BL52" i="1"/>
  <c r="BK52" i="1"/>
  <c r="BJ52" i="1"/>
  <c r="BO41" i="1"/>
  <c r="BN41" i="1"/>
  <c r="BM41" i="1"/>
  <c r="BL41" i="1"/>
  <c r="BK41" i="1"/>
  <c r="BJ41" i="1"/>
  <c r="BO39" i="1"/>
  <c r="BN39" i="1"/>
  <c r="BM39" i="1"/>
  <c r="BL39" i="1"/>
  <c r="BK39" i="1"/>
  <c r="BJ39" i="1"/>
  <c r="AK13" i="1"/>
  <c r="AK15" i="1"/>
  <c r="AK39" i="1"/>
  <c r="AK41" i="1"/>
  <c r="BO15" i="1"/>
  <c r="BN15" i="1"/>
  <c r="BM15" i="1"/>
  <c r="BL15" i="1"/>
  <c r="BK15" i="1"/>
  <c r="BJ15" i="1"/>
  <c r="BO13" i="1"/>
  <c r="BN13" i="1"/>
  <c r="BM13" i="1"/>
  <c r="BL13" i="1"/>
  <c r="BK13" i="1"/>
  <c r="BJ13" i="1"/>
  <c r="BC41" i="1" l="1"/>
  <c r="BB41" i="1"/>
  <c r="BA41" i="1"/>
  <c r="AZ41" i="1"/>
  <c r="AY41" i="1"/>
  <c r="AX41" i="1"/>
  <c r="AW41" i="1"/>
  <c r="AV41" i="1"/>
  <c r="AU41" i="1"/>
  <c r="AT41" i="1"/>
  <c r="AS41" i="1"/>
  <c r="AR41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P41" i="1"/>
  <c r="AO41" i="1"/>
  <c r="AN41" i="1"/>
  <c r="AM41" i="1"/>
  <c r="AL41" i="1"/>
  <c r="AJ41" i="1"/>
  <c r="AI41" i="1"/>
  <c r="AH41" i="1"/>
  <c r="AG41" i="1"/>
  <c r="AF41" i="1"/>
  <c r="AE41" i="1"/>
  <c r="AP39" i="1"/>
  <c r="AO39" i="1"/>
  <c r="AN39" i="1"/>
  <c r="AM39" i="1"/>
  <c r="AL39" i="1"/>
  <c r="AJ39" i="1"/>
  <c r="AI39" i="1"/>
  <c r="AH39" i="1"/>
  <c r="AG39" i="1"/>
  <c r="AF39" i="1"/>
  <c r="AE39" i="1"/>
  <c r="AP15" i="1"/>
  <c r="AO15" i="1"/>
  <c r="AN15" i="1"/>
  <c r="AM15" i="1"/>
  <c r="AL15" i="1"/>
  <c r="AJ15" i="1"/>
  <c r="AI15" i="1"/>
  <c r="AH15" i="1"/>
  <c r="AG15" i="1"/>
  <c r="AF15" i="1"/>
  <c r="AE15" i="1"/>
  <c r="AP13" i="1"/>
  <c r="AO13" i="1"/>
  <c r="AN13" i="1"/>
  <c r="AM13" i="1"/>
  <c r="AL13" i="1"/>
  <c r="AJ13" i="1"/>
  <c r="AI13" i="1"/>
  <c r="AH13" i="1"/>
  <c r="AG13" i="1"/>
  <c r="AF13" i="1"/>
  <c r="AE13" i="1"/>
  <c r="AC41" i="1" l="1"/>
  <c r="AB41" i="1"/>
  <c r="AA41" i="1"/>
  <c r="Z41" i="1"/>
  <c r="Y41" i="1"/>
  <c r="X41" i="1"/>
  <c r="W41" i="1"/>
  <c r="V41" i="1"/>
  <c r="U41" i="1"/>
  <c r="T41" i="1"/>
  <c r="S41" i="1"/>
  <c r="R41" i="1"/>
  <c r="AC39" i="1"/>
  <c r="AB39" i="1"/>
  <c r="AA39" i="1"/>
  <c r="Z39" i="1"/>
  <c r="Y39" i="1"/>
  <c r="X39" i="1"/>
  <c r="W39" i="1"/>
  <c r="V39" i="1"/>
  <c r="U39" i="1"/>
  <c r="T39" i="1"/>
  <c r="S39" i="1"/>
  <c r="R39" i="1"/>
  <c r="AC15" i="1"/>
  <c r="AB15" i="1"/>
  <c r="AA15" i="1"/>
  <c r="Z15" i="1"/>
  <c r="Y15" i="1"/>
  <c r="X15" i="1"/>
  <c r="W15" i="1"/>
  <c r="V15" i="1"/>
  <c r="U15" i="1"/>
  <c r="T15" i="1"/>
  <c r="S15" i="1"/>
  <c r="R15" i="1"/>
  <c r="AC13" i="1"/>
  <c r="AB13" i="1"/>
  <c r="AA13" i="1"/>
  <c r="Z13" i="1"/>
  <c r="Y13" i="1"/>
  <c r="X13" i="1"/>
  <c r="W13" i="1"/>
  <c r="V13" i="1"/>
  <c r="U13" i="1"/>
  <c r="T13" i="1"/>
  <c r="S13" i="1"/>
  <c r="R13" i="1"/>
  <c r="P41" i="1"/>
  <c r="O41" i="1"/>
  <c r="P39" i="1"/>
  <c r="O39" i="1"/>
  <c r="P15" i="1"/>
  <c r="O15" i="1"/>
  <c r="P13" i="1"/>
  <c r="O13" i="1"/>
  <c r="L41" i="1"/>
  <c r="K41" i="1"/>
  <c r="L39" i="1"/>
  <c r="K39" i="1"/>
  <c r="L15" i="1"/>
  <c r="K15" i="1"/>
  <c r="L13" i="1"/>
  <c r="K13" i="1"/>
  <c r="H41" i="1"/>
  <c r="G41" i="1"/>
  <c r="H39" i="1"/>
  <c r="G39" i="1"/>
  <c r="H15" i="1"/>
  <c r="G15" i="1"/>
  <c r="H13" i="1"/>
  <c r="G13" i="1"/>
  <c r="N41" i="1"/>
  <c r="M41" i="1"/>
  <c r="N39" i="1"/>
  <c r="M39" i="1"/>
  <c r="N15" i="1"/>
  <c r="M15" i="1"/>
  <c r="N13" i="1"/>
  <c r="M13" i="1"/>
  <c r="J41" i="1"/>
  <c r="J39" i="1"/>
  <c r="J15" i="1"/>
  <c r="J13" i="1"/>
  <c r="E41" i="1"/>
  <c r="E39" i="1"/>
  <c r="E15" i="1"/>
  <c r="E13" i="1"/>
  <c r="I41" i="1"/>
  <c r="I15" i="1"/>
  <c r="F15" i="1"/>
  <c r="F41" i="1"/>
  <c r="I39" i="1"/>
  <c r="F39" i="1"/>
  <c r="I13" i="1"/>
  <c r="F13" i="1"/>
</calcChain>
</file>

<file path=xl/sharedStrings.xml><?xml version="1.0" encoding="utf-8"?>
<sst xmlns="http://schemas.openxmlformats.org/spreadsheetml/2006/main" count="301" uniqueCount="54">
  <si>
    <t>1 CW</t>
  </si>
  <si>
    <t>FN</t>
  </si>
  <si>
    <t>FP</t>
  </si>
  <si>
    <t>Acc</t>
  </si>
  <si>
    <t>Prec</t>
  </si>
  <si>
    <t>Recall</t>
  </si>
  <si>
    <t>F1-Score</t>
  </si>
  <si>
    <t>Train Acc</t>
  </si>
  <si>
    <t>Train Time (Hrs)</t>
  </si>
  <si>
    <t>Det. Time(ms)</t>
  </si>
  <si>
    <t>YOLO  Model</t>
  </si>
  <si>
    <t>Dataset</t>
  </si>
  <si>
    <t>YOLO Det. Th. = 0.25</t>
  </si>
  <si>
    <t>Total Instances</t>
  </si>
  <si>
    <t>FN %</t>
  </si>
  <si>
    <t># of parameters</t>
  </si>
  <si>
    <t>FP %</t>
  </si>
  <si>
    <t>YOLO 8</t>
  </si>
  <si>
    <t>n</t>
  </si>
  <si>
    <t>m</t>
  </si>
  <si>
    <t>YOLO 5</t>
  </si>
  <si>
    <t>2 CW</t>
  </si>
  <si>
    <t>3 CW</t>
  </si>
  <si>
    <t># of Train epochs</t>
  </si>
  <si>
    <t>pretrained COCO</t>
  </si>
  <si>
    <t>Pretrained COCO</t>
  </si>
  <si>
    <t>Best @ epoch #</t>
  </si>
  <si>
    <t>run till best+100e</t>
  </si>
  <si>
    <t># of Layers</t>
  </si>
  <si>
    <t># of FLOPs</t>
  </si>
  <si>
    <t>15.9 G</t>
  </si>
  <si>
    <t>28.6 G</t>
  </si>
  <si>
    <t>DS image size 640 / Tr size 640</t>
  </si>
  <si>
    <t>DS image size 448 / Tr size 448</t>
  </si>
  <si>
    <t>16 G</t>
  </si>
  <si>
    <t>28.7 G</t>
  </si>
  <si>
    <t>DS image size 320 / Tr size 320</t>
  </si>
  <si>
    <t>s - vm9</t>
  </si>
  <si>
    <t>s - vm7</t>
  </si>
  <si>
    <t>DS image size 320 / Tr size 320 - Batch 64</t>
  </si>
  <si>
    <t>Weapon DS</t>
  </si>
  <si>
    <t>DS: Weapon 2020</t>
  </si>
  <si>
    <t>23.6 G</t>
  </si>
  <si>
    <t>(Tesla P100-PCIE-16GB, 16280.875MB)</t>
  </si>
  <si>
    <t>VM7</t>
  </si>
  <si>
    <t>VM9</t>
  </si>
  <si>
    <t>m - vm7</t>
  </si>
  <si>
    <t>48.2 G</t>
  </si>
  <si>
    <t>67.8 G</t>
  </si>
  <si>
    <t>5s</t>
  </si>
  <si>
    <t>5m</t>
  </si>
  <si>
    <t>8s</t>
  </si>
  <si>
    <t>8m</t>
  </si>
  <si>
    <t>Sample of Different image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</si>
</sst>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22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u/>
      <sz val="12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b/>
      <u/>
      <sz val="10"/>
      <color theme="8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4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9" fontId="0" fillId="6" borderId="1" xfId="1" applyFont="1" applyFill="1" applyBorder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4" borderId="1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6" fillId="0" borderId="0" xfId="0" applyFont="1"/>
    <xf numFmtId="3" fontId="5" fillId="4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5" fillId="4" borderId="5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9" fontId="0" fillId="0" borderId="1" xfId="1" applyFont="1" applyFill="1" applyBorder="1" applyAlignment="1">
      <alignment horizontal="center"/>
    </xf>
    <xf numFmtId="9" fontId="0" fillId="0" borderId="5" xfId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9" fontId="0" fillId="0" borderId="6" xfId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9" fontId="0" fillId="12" borderId="1" xfId="1" applyFont="1" applyFill="1" applyBorder="1" applyAlignment="1">
      <alignment horizontal="center"/>
    </xf>
    <xf numFmtId="9" fontId="0" fillId="12" borderId="5" xfId="1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13" borderId="2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9" fontId="0" fillId="13" borderId="1" xfId="1" applyFont="1" applyFill="1" applyBorder="1" applyAlignment="1">
      <alignment horizontal="center"/>
    </xf>
    <xf numFmtId="9" fontId="0" fillId="13" borderId="5" xfId="1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9" fontId="0" fillId="14" borderId="1" xfId="1" applyFont="1" applyFill="1" applyBorder="1" applyAlignment="1">
      <alignment horizontal="center"/>
    </xf>
    <xf numFmtId="9" fontId="0" fillId="14" borderId="5" xfId="1" applyFont="1" applyFill="1" applyBorder="1" applyAlignment="1">
      <alignment horizontal="center"/>
    </xf>
    <xf numFmtId="0" fontId="0" fillId="13" borderId="2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0" fontId="0" fillId="4" borderId="2" xfId="0" applyNumberFormat="1" applyFill="1" applyBorder="1" applyAlignment="1">
      <alignment horizontal="center"/>
    </xf>
    <xf numFmtId="10" fontId="0" fillId="4" borderId="4" xfId="0" applyNumberFormat="1" applyFill="1" applyBorder="1" applyAlignment="1">
      <alignment horizontal="center"/>
    </xf>
    <xf numFmtId="0" fontId="1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FN Detections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Yolo5s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(Sheet1!$AJ$13,Sheet1!$AK$13,Sheet1!$AL$13)</c:f>
              <c:numCache>
                <c:formatCode>0%</c:formatCode>
                <c:ptCount val="3"/>
                <c:pt idx="0">
                  <c:v>0.109375</c:v>
                </c:pt>
                <c:pt idx="1">
                  <c:v>0.18359375</c:v>
                </c:pt>
                <c:pt idx="2">
                  <c:v>0.2890625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6-4460-BBE8-76D866B058F0}"/>
            </c:ext>
          </c:extLst>
        </c:ser>
        <c:ser>
          <c:idx val="1"/>
          <c:order val="1"/>
          <c:tx>
            <c:v>Yolo5m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(Sheet1!$AN$13,Sheet1!$AO$13,Sheet1!$AP$13)</c:f>
              <c:numCache>
                <c:formatCode>0%</c:formatCode>
                <c:ptCount val="3"/>
                <c:pt idx="0">
                  <c:v>0.1640625</c:v>
                </c:pt>
                <c:pt idx="1">
                  <c:v>0.1796875</c:v>
                </c:pt>
                <c:pt idx="2">
                  <c:v>0.2734375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6-4460-BBE8-76D866B05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121168"/>
        <c:axId val="1228138032"/>
      </c:lineChart>
      <c:catAx>
        <c:axId val="122812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38032"/>
        <c:crosses val="autoZero"/>
        <c:auto val="1"/>
        <c:lblAlgn val="ctr"/>
        <c:lblOffset val="100"/>
        <c:noMultiLvlLbl val="0"/>
      </c:catAx>
      <c:valAx>
        <c:axId val="12281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21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FN Detections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Yolo8s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(Sheet1!$AJ$39,Sheet1!$AK$39,Sheet1!$AL$39)</c:f>
              <c:numCache>
                <c:formatCode>0%</c:formatCode>
                <c:ptCount val="3"/>
                <c:pt idx="0">
                  <c:v>0.15234375</c:v>
                </c:pt>
                <c:pt idx="1">
                  <c:v>0.20703125</c:v>
                </c:pt>
                <c:pt idx="2">
                  <c:v>0.26953125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F-4E2E-A5E2-26EECC992B95}"/>
            </c:ext>
          </c:extLst>
        </c:ser>
        <c:ser>
          <c:idx val="1"/>
          <c:order val="1"/>
          <c:tx>
            <c:v>Yolo8m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(Sheet1!$AN$39,Sheet1!$AO$39,Sheet1!$AP$39)</c:f>
              <c:numCache>
                <c:formatCode>0%</c:formatCode>
                <c:ptCount val="3"/>
                <c:pt idx="0">
                  <c:v>0.203125</c:v>
                </c:pt>
                <c:pt idx="1">
                  <c:v>0.26171875</c:v>
                </c:pt>
                <c:pt idx="2">
                  <c:v>0.2734375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0F-4E2E-A5E2-26EECC992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140752"/>
        <c:axId val="1228139664"/>
      </c:lineChart>
      <c:catAx>
        <c:axId val="122814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39664"/>
        <c:crosses val="autoZero"/>
        <c:auto val="1"/>
        <c:lblAlgn val="ctr"/>
        <c:lblOffset val="100"/>
        <c:noMultiLvlLbl val="0"/>
      </c:catAx>
      <c:valAx>
        <c:axId val="122813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40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 Detections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Yolo5s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Sheet1!$AJ$15:$AL$15</c:f>
              <c:numCache>
                <c:formatCode>0%</c:formatCode>
                <c:ptCount val="3"/>
                <c:pt idx="0">
                  <c:v>5.859375E-2</c:v>
                </c:pt>
                <c:pt idx="1">
                  <c:v>5.46875E-2</c:v>
                </c:pt>
                <c:pt idx="2">
                  <c:v>0.11328125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7-4A4F-AE17-70F7ECA5B32D}"/>
            </c:ext>
          </c:extLst>
        </c:ser>
        <c:ser>
          <c:idx val="1"/>
          <c:order val="1"/>
          <c:tx>
            <c:v>Yolo5m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Sheet1!$AN$15:$AP$15</c:f>
              <c:numCache>
                <c:formatCode>0%</c:formatCode>
                <c:ptCount val="3"/>
                <c:pt idx="0">
                  <c:v>7.421875E-2</c:v>
                </c:pt>
                <c:pt idx="1">
                  <c:v>5.078125E-2</c:v>
                </c:pt>
                <c:pt idx="2">
                  <c:v>5.46875E-2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7-4A4F-AE17-70F7ECA5B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142928"/>
        <c:axId val="1228144560"/>
      </c:lineChart>
      <c:catAx>
        <c:axId val="122814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44560"/>
        <c:crosses val="autoZero"/>
        <c:auto val="1"/>
        <c:lblAlgn val="ctr"/>
        <c:lblOffset val="100"/>
        <c:noMultiLvlLbl val="0"/>
      </c:catAx>
      <c:valAx>
        <c:axId val="12281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429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 Detections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Yolo8s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Sheet1!$AJ$41:$AL$41</c:f>
              <c:numCache>
                <c:formatCode>0%</c:formatCode>
                <c:ptCount val="3"/>
                <c:pt idx="0">
                  <c:v>9.765625E-2</c:v>
                </c:pt>
                <c:pt idx="1">
                  <c:v>0.10546875</c:v>
                </c:pt>
                <c:pt idx="2">
                  <c:v>0.109375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07-41C3-83AC-76EE1201DFD9}"/>
            </c:ext>
          </c:extLst>
        </c:ser>
        <c:ser>
          <c:idx val="1"/>
          <c:order val="1"/>
          <c:tx>
            <c:v>Yolo8m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Sheet1!$AN$41:$AP$41</c:f>
              <c:numCache>
                <c:formatCode>0%</c:formatCode>
                <c:ptCount val="3"/>
                <c:pt idx="0">
                  <c:v>3.90625E-2</c:v>
                </c:pt>
                <c:pt idx="1">
                  <c:v>5.859375E-2</c:v>
                </c:pt>
                <c:pt idx="2">
                  <c:v>9.765625E-2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07-41C3-83AC-76EE1201D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459072"/>
        <c:axId val="1194456352"/>
      </c:lineChart>
      <c:catAx>
        <c:axId val="11944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56352"/>
        <c:crosses val="autoZero"/>
        <c:auto val="1"/>
        <c:lblAlgn val="ctr"/>
        <c:lblOffset val="100"/>
        <c:noMultiLvlLbl val="0"/>
      </c:catAx>
      <c:valAx>
        <c:axId val="11944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590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FN Detections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Yolo5s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(Sheet1!$AJ$13,Sheet1!$AK$13,Sheet1!$AL$13)</c:f>
              <c:numCache>
                <c:formatCode>0%</c:formatCode>
                <c:ptCount val="3"/>
                <c:pt idx="0">
                  <c:v>0.109375</c:v>
                </c:pt>
                <c:pt idx="1">
                  <c:v>0.18359375</c:v>
                </c:pt>
                <c:pt idx="2">
                  <c:v>0.2890625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BE-4172-90AF-2CB6FDAB6773}"/>
            </c:ext>
          </c:extLst>
        </c:ser>
        <c:ser>
          <c:idx val="1"/>
          <c:order val="1"/>
          <c:tx>
            <c:v>Yolo8s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Sheet1!$AJ$39:$AL$39</c:f>
              <c:numCache>
                <c:formatCode>0%</c:formatCode>
                <c:ptCount val="3"/>
                <c:pt idx="0">
                  <c:v>0.15234375</c:v>
                </c:pt>
                <c:pt idx="1">
                  <c:v>0.20703125</c:v>
                </c:pt>
                <c:pt idx="2">
                  <c:v>0.26953125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BE-4172-90AF-2CB6FDAB6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460704"/>
        <c:axId val="1194461248"/>
      </c:lineChart>
      <c:catAx>
        <c:axId val="11944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61248"/>
        <c:crosses val="autoZero"/>
        <c:auto val="1"/>
        <c:lblAlgn val="ctr"/>
        <c:lblOffset val="100"/>
        <c:noMultiLvlLbl val="0"/>
      </c:catAx>
      <c:valAx>
        <c:axId val="11944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60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 Detections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Yolo5s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Sheet1!$AJ$15:$AL$15</c:f>
              <c:numCache>
                <c:formatCode>0%</c:formatCode>
                <c:ptCount val="3"/>
                <c:pt idx="0">
                  <c:v>5.859375E-2</c:v>
                </c:pt>
                <c:pt idx="1">
                  <c:v>5.46875E-2</c:v>
                </c:pt>
                <c:pt idx="2">
                  <c:v>0.11328125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5-4E91-B4AF-15DFC9784BEE}"/>
            </c:ext>
          </c:extLst>
        </c:ser>
        <c:ser>
          <c:idx val="1"/>
          <c:order val="1"/>
          <c:tx>
            <c:v>Yolo8s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Sheet1!$AJ$41:$AL$41</c:f>
              <c:numCache>
                <c:formatCode>0%</c:formatCode>
                <c:ptCount val="3"/>
                <c:pt idx="0">
                  <c:v>9.765625E-2</c:v>
                </c:pt>
                <c:pt idx="1">
                  <c:v>0.10546875</c:v>
                </c:pt>
                <c:pt idx="2">
                  <c:v>0.109375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5-4E91-B4AF-15DFC9784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468320"/>
        <c:axId val="1194469408"/>
      </c:lineChart>
      <c:catAx>
        <c:axId val="119446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69408"/>
        <c:crosses val="autoZero"/>
        <c:auto val="1"/>
        <c:lblAlgn val="ctr"/>
        <c:lblOffset val="100"/>
        <c:noMultiLvlLbl val="0"/>
      </c:catAx>
      <c:valAx>
        <c:axId val="119446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683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FN Detections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Yolo5m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Sheet1!$AN$13:$AP$13</c:f>
              <c:numCache>
                <c:formatCode>0%</c:formatCode>
                <c:ptCount val="3"/>
                <c:pt idx="0">
                  <c:v>0.1640625</c:v>
                </c:pt>
                <c:pt idx="1">
                  <c:v>0.1796875</c:v>
                </c:pt>
                <c:pt idx="2">
                  <c:v>0.2734375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9-4389-ADB2-257E1D1AFE16}"/>
            </c:ext>
          </c:extLst>
        </c:ser>
        <c:ser>
          <c:idx val="1"/>
          <c:order val="1"/>
          <c:tx>
            <c:v>Yolo8m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Sheet1!$AN$39:$AP$39</c:f>
              <c:numCache>
                <c:formatCode>0%</c:formatCode>
                <c:ptCount val="3"/>
                <c:pt idx="0">
                  <c:v>0.203125</c:v>
                </c:pt>
                <c:pt idx="1">
                  <c:v>0.26171875</c:v>
                </c:pt>
                <c:pt idx="2">
                  <c:v>0.2734375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389-ADB2-257E1D1AF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467776"/>
        <c:axId val="1194468864"/>
      </c:lineChart>
      <c:catAx>
        <c:axId val="11944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68864"/>
        <c:crosses val="autoZero"/>
        <c:auto val="1"/>
        <c:lblAlgn val="ctr"/>
        <c:lblOffset val="100"/>
        <c:noMultiLvlLbl val="0"/>
      </c:catAx>
      <c:valAx>
        <c:axId val="119446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67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 Detections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Yolo5m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Sheet1!$AN$15:$AP$15</c:f>
              <c:numCache>
                <c:formatCode>0%</c:formatCode>
                <c:ptCount val="3"/>
                <c:pt idx="0">
                  <c:v>7.421875E-2</c:v>
                </c:pt>
                <c:pt idx="1">
                  <c:v>5.078125E-2</c:v>
                </c:pt>
                <c:pt idx="2">
                  <c:v>5.46875E-2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1-4FD8-A261-BA6DE7958B50}"/>
            </c:ext>
          </c:extLst>
        </c:ser>
        <c:ser>
          <c:idx val="1"/>
          <c:order val="1"/>
          <c:tx>
            <c:v>Yolo8m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(Sheet1!$AJ$10,Sheet1!$AK$10,Sheet1!$AL$10)</c:f>
              <c:strCache>
                <c:ptCount val="3"/>
                <c:pt idx="0">
                  <c:v>1 CW</c:v>
                </c:pt>
                <c:pt idx="1">
                  <c:v>2 CW</c:v>
                </c:pt>
                <c:pt idx="2">
                  <c:v>3 CW</c:v>
                </c:pt>
              </c:strCache>
            </c:strRef>
          </c:cat>
          <c:val>
            <c:numRef>
              <c:f>Sheet1!$AN$41:$AP$41</c:f>
              <c:numCache>
                <c:formatCode>0%</c:formatCode>
                <c:ptCount val="3"/>
                <c:pt idx="0">
                  <c:v>3.90625E-2</c:v>
                </c:pt>
                <c:pt idx="1">
                  <c:v>5.859375E-2</c:v>
                </c:pt>
                <c:pt idx="2">
                  <c:v>9.765625E-2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1-4FD8-A261-BA6DE7958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471584"/>
        <c:axId val="1194465056"/>
      </c:lineChart>
      <c:catAx>
        <c:axId val="119447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65056"/>
        <c:crosses val="autoZero"/>
        <c:auto val="1"/>
        <c:lblAlgn val="ctr"/>
        <c:lblOffset val="100"/>
        <c:noMultiLvlLbl val="0"/>
      </c:catAx>
      <c:valAx>
        <c:axId val="11944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715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0</xdr:colOff>
      <xdr:row>5</xdr:row>
      <xdr:rowOff>125802</xdr:rowOff>
    </xdr:from>
    <xdr:to>
      <xdr:col>75</xdr:col>
      <xdr:colOff>296533</xdr:colOff>
      <xdr:row>19</xdr:row>
      <xdr:rowOff>47445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0613AE-3241-4BBC-979E-FF555B6C2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8985</xdr:colOff>
      <xdr:row>20</xdr:row>
      <xdr:rowOff>0</xdr:rowOff>
    </xdr:from>
    <xdr:to>
      <xdr:col>75</xdr:col>
      <xdr:colOff>303721</xdr:colOff>
      <xdr:row>33</xdr:row>
      <xdr:rowOff>119332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48EF8F-5EF3-44AE-AE1A-480B49C2B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76</xdr:col>
      <xdr:colOff>0</xdr:colOff>
      <xdr:row>5</xdr:row>
      <xdr:rowOff>126350</xdr:rowOff>
    </xdr:from>
    <xdr:to>
      <xdr:col>83</xdr:col>
      <xdr:colOff>296533</xdr:colOff>
      <xdr:row>19</xdr:row>
      <xdr:rowOff>47993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66742-F066-4907-9C5D-DB6DE3127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76</xdr:col>
      <xdr:colOff>0</xdr:colOff>
      <xdr:row>20</xdr:row>
      <xdr:rowOff>9719</xdr:rowOff>
    </xdr:from>
    <xdr:to>
      <xdr:col>83</xdr:col>
      <xdr:colOff>296533</xdr:colOff>
      <xdr:row>33</xdr:row>
      <xdr:rowOff>135469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60D268-8FF1-41E3-9524-6D1869DD0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68</xdr:col>
      <xdr:colOff>0</xdr:colOff>
      <xdr:row>34</xdr:row>
      <xdr:rowOff>0</xdr:rowOff>
    </xdr:from>
    <xdr:to>
      <xdr:col>75</xdr:col>
      <xdr:colOff>296533</xdr:colOff>
      <xdr:row>48</xdr:row>
      <xdr:rowOff>86872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273781-68F7-4084-A6AF-EB63E9A20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76</xdr:col>
      <xdr:colOff>0</xdr:colOff>
      <xdr:row>34</xdr:row>
      <xdr:rowOff>0</xdr:rowOff>
    </xdr:from>
    <xdr:to>
      <xdr:col>83</xdr:col>
      <xdr:colOff>296533</xdr:colOff>
      <xdr:row>48</xdr:row>
      <xdr:rowOff>86872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F3091-2E37-4411-BE45-1443E2D5D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68</xdr:col>
      <xdr:colOff>0</xdr:colOff>
      <xdr:row>49</xdr:row>
      <xdr:rowOff>0</xdr:rowOff>
    </xdr:from>
    <xdr:to>
      <xdr:col>75</xdr:col>
      <xdr:colOff>296533</xdr:colOff>
      <xdr:row>58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FA1759-6B24-48F7-9F8A-F74BECD49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76</xdr:col>
      <xdr:colOff>0</xdr:colOff>
      <xdr:row>49</xdr:row>
      <xdr:rowOff>0</xdr:rowOff>
    </xdr:from>
    <xdr:to>
      <xdr:col>83</xdr:col>
      <xdr:colOff>296533</xdr:colOff>
      <xdr:row>58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FD46D0-85B7-4772-83DE-BF76564A5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O94"/>
  <sheetViews>
    <sheetView tabSelected="1" topLeftCell="A3" zoomScale="98" zoomScaleNormal="98" workbookViewId="0">
      <pane xSplit="4" ySplit="3" topLeftCell="BG60" activePane="bottomRight" state="frozen"/>
      <selection activeCell="A3" sqref="A3"/>
      <selection pane="topRight" activeCell="E3" sqref="E3"/>
      <selection pane="bottomLeft" activeCell="A5" sqref="A5"/>
      <selection pane="bottomRight" activeCell="M59" sqref="M59"/>
    </sheetView>
  </sheetViews>
  <sheetFormatPr defaultRowHeight="15" x14ac:dyDescent="0.25"/>
  <cols>
    <col min="61" max="61" width="5" customWidth="1"/>
    <col min="62" max="67" width="6.5703125" customWidth="1"/>
  </cols>
  <sheetData>
    <row r="2" spans="2:67" ht="26.25" x14ac:dyDescent="0.4">
      <c r="D2" s="28" t="s">
        <v>40</v>
      </c>
    </row>
    <row r="3" spans="2:67" ht="26.25" x14ac:dyDescent="0.4">
      <c r="D3" s="28"/>
    </row>
    <row r="4" spans="2:67" x14ac:dyDescent="0.25">
      <c r="M4" s="47" t="s">
        <v>44</v>
      </c>
      <c r="N4" s="47" t="s">
        <v>43</v>
      </c>
      <c r="O4" s="47"/>
      <c r="P4" s="47"/>
      <c r="Q4" s="47"/>
      <c r="R4" s="47"/>
      <c r="S4" s="47"/>
      <c r="T4" s="47"/>
      <c r="U4" s="47"/>
      <c r="V4" s="47" t="s">
        <v>45</v>
      </c>
      <c r="W4" s="47" t="s">
        <v>43</v>
      </c>
      <c r="X4" s="47"/>
      <c r="Y4" s="47"/>
      <c r="Z4" s="47"/>
    </row>
    <row r="5" spans="2:67" ht="18.75" x14ac:dyDescent="0.3">
      <c r="D5" s="29"/>
      <c r="I5" s="46" t="s">
        <v>32</v>
      </c>
      <c r="V5" s="46" t="s">
        <v>33</v>
      </c>
      <c r="AI5" s="46" t="s">
        <v>36</v>
      </c>
      <c r="AV5" s="46" t="s">
        <v>39</v>
      </c>
    </row>
    <row r="6" spans="2:67" ht="28.5" x14ac:dyDescent="0.45">
      <c r="B6" s="27" t="s">
        <v>40</v>
      </c>
      <c r="D6" s="29"/>
      <c r="I6" s="22" t="s">
        <v>32</v>
      </c>
      <c r="V6" s="22" t="s">
        <v>33</v>
      </c>
      <c r="AI6" s="22" t="s">
        <v>36</v>
      </c>
      <c r="AV6" s="22" t="s">
        <v>39</v>
      </c>
    </row>
    <row r="7" spans="2:67" x14ac:dyDescent="0.25">
      <c r="C7" s="45" t="s">
        <v>12</v>
      </c>
      <c r="D7" s="10"/>
    </row>
    <row r="8" spans="2:67" x14ac:dyDescent="0.25">
      <c r="C8" s="11" t="s">
        <v>20</v>
      </c>
      <c r="E8" s="11" t="s">
        <v>20</v>
      </c>
      <c r="F8" s="12" t="s">
        <v>25</v>
      </c>
      <c r="I8" t="s">
        <v>41</v>
      </c>
      <c r="L8" t="s">
        <v>27</v>
      </c>
      <c r="R8" s="11" t="s">
        <v>20</v>
      </c>
      <c r="S8" s="12" t="s">
        <v>25</v>
      </c>
      <c r="V8" t="s">
        <v>41</v>
      </c>
      <c r="Y8" t="s">
        <v>27</v>
      </c>
      <c r="AE8" s="11" t="s">
        <v>20</v>
      </c>
      <c r="AF8" s="12" t="s">
        <v>25</v>
      </c>
      <c r="AI8" t="s">
        <v>41</v>
      </c>
      <c r="AL8" t="s">
        <v>27</v>
      </c>
      <c r="AR8" s="11" t="s">
        <v>20</v>
      </c>
      <c r="AS8" s="12" t="s">
        <v>25</v>
      </c>
      <c r="AV8" t="s">
        <v>41</v>
      </c>
      <c r="AY8" t="s">
        <v>27</v>
      </c>
    </row>
    <row r="9" spans="2:67" ht="15.75" x14ac:dyDescent="0.25">
      <c r="C9" s="77" t="s">
        <v>10</v>
      </c>
      <c r="D9" s="78"/>
      <c r="E9" s="70" t="s">
        <v>37</v>
      </c>
      <c r="F9" s="71"/>
      <c r="G9" s="71"/>
      <c r="H9" s="71"/>
      <c r="I9" s="72" t="s">
        <v>38</v>
      </c>
      <c r="J9" s="71"/>
      <c r="K9" s="71"/>
      <c r="L9" s="71"/>
      <c r="M9" s="71" t="s">
        <v>19</v>
      </c>
      <c r="N9" s="71"/>
      <c r="O9" s="71"/>
      <c r="P9" s="73"/>
      <c r="R9" s="70" t="s">
        <v>37</v>
      </c>
      <c r="S9" s="71"/>
      <c r="T9" s="71"/>
      <c r="U9" s="71"/>
      <c r="V9" s="72" t="s">
        <v>38</v>
      </c>
      <c r="W9" s="71"/>
      <c r="X9" s="71"/>
      <c r="Y9" s="71"/>
      <c r="Z9" s="71" t="s">
        <v>19</v>
      </c>
      <c r="AA9" s="71"/>
      <c r="AB9" s="71"/>
      <c r="AC9" s="73"/>
      <c r="AE9" s="70" t="s">
        <v>37</v>
      </c>
      <c r="AF9" s="71"/>
      <c r="AG9" s="71"/>
      <c r="AH9" s="71"/>
      <c r="AI9" s="72" t="s">
        <v>38</v>
      </c>
      <c r="AJ9" s="71"/>
      <c r="AK9" s="71"/>
      <c r="AL9" s="71"/>
      <c r="AM9" s="71" t="s">
        <v>46</v>
      </c>
      <c r="AN9" s="71"/>
      <c r="AO9" s="71"/>
      <c r="AP9" s="73"/>
      <c r="AR9" s="70" t="s">
        <v>37</v>
      </c>
      <c r="AS9" s="71"/>
      <c r="AT9" s="71"/>
      <c r="AU9" s="71"/>
      <c r="AV9" s="72" t="s">
        <v>38</v>
      </c>
      <c r="AW9" s="71"/>
      <c r="AX9" s="71"/>
      <c r="AY9" s="71"/>
      <c r="AZ9" s="71" t="s">
        <v>19</v>
      </c>
      <c r="BA9" s="71"/>
      <c r="BB9" s="71"/>
      <c r="BC9" s="73"/>
      <c r="BH9" s="60" t="s">
        <v>10</v>
      </c>
      <c r="BI9" s="61"/>
      <c r="BJ9" s="62" t="s">
        <v>49</v>
      </c>
      <c r="BK9" s="62"/>
      <c r="BL9" s="62"/>
      <c r="BM9" s="62" t="s">
        <v>50</v>
      </c>
      <c r="BN9" s="62"/>
      <c r="BO9" s="62"/>
    </row>
    <row r="10" spans="2:67" x14ac:dyDescent="0.25">
      <c r="C10" s="77" t="s">
        <v>11</v>
      </c>
      <c r="D10" s="78"/>
      <c r="E10" s="3"/>
      <c r="F10" s="35" t="s">
        <v>0</v>
      </c>
      <c r="G10" s="35" t="s">
        <v>21</v>
      </c>
      <c r="H10" s="36" t="s">
        <v>22</v>
      </c>
      <c r="I10" s="6"/>
      <c r="J10" s="35" t="s">
        <v>0</v>
      </c>
      <c r="K10" s="35" t="s">
        <v>21</v>
      </c>
      <c r="L10" s="36" t="s">
        <v>22</v>
      </c>
      <c r="M10" s="6"/>
      <c r="N10" s="3" t="s">
        <v>0</v>
      </c>
      <c r="O10" s="3" t="s">
        <v>21</v>
      </c>
      <c r="P10" s="3" t="s">
        <v>22</v>
      </c>
      <c r="R10" s="3"/>
      <c r="S10" s="35" t="s">
        <v>0</v>
      </c>
      <c r="T10" s="35" t="s">
        <v>21</v>
      </c>
      <c r="U10" s="36" t="s">
        <v>22</v>
      </c>
      <c r="V10" s="6"/>
      <c r="W10" s="35" t="s">
        <v>0</v>
      </c>
      <c r="X10" s="35" t="s">
        <v>21</v>
      </c>
      <c r="Y10" s="36" t="s">
        <v>22</v>
      </c>
      <c r="Z10" s="6"/>
      <c r="AA10" s="3" t="s">
        <v>0</v>
      </c>
      <c r="AB10" s="3" t="s">
        <v>21</v>
      </c>
      <c r="AC10" s="3" t="s">
        <v>22</v>
      </c>
      <c r="AE10" s="3"/>
      <c r="AF10" s="35" t="s">
        <v>0</v>
      </c>
      <c r="AG10" s="35" t="s">
        <v>21</v>
      </c>
      <c r="AH10" s="36" t="s">
        <v>22</v>
      </c>
      <c r="AI10" s="6"/>
      <c r="AJ10" s="35" t="s">
        <v>0</v>
      </c>
      <c r="AK10" s="35" t="s">
        <v>21</v>
      </c>
      <c r="AL10" s="36" t="s">
        <v>22</v>
      </c>
      <c r="AM10" s="6"/>
      <c r="AN10" s="37" t="s">
        <v>0</v>
      </c>
      <c r="AO10" s="37" t="s">
        <v>21</v>
      </c>
      <c r="AP10" s="37" t="s">
        <v>22</v>
      </c>
      <c r="AR10" s="3"/>
      <c r="AS10" s="35" t="s">
        <v>0</v>
      </c>
      <c r="AT10" s="35" t="s">
        <v>21</v>
      </c>
      <c r="AU10" s="36" t="s">
        <v>22</v>
      </c>
      <c r="AV10" s="6"/>
      <c r="AW10" s="35" t="s">
        <v>0</v>
      </c>
      <c r="AX10" s="35" t="s">
        <v>21</v>
      </c>
      <c r="AY10" s="36" t="s">
        <v>22</v>
      </c>
      <c r="AZ10" s="6"/>
      <c r="BA10" s="3" t="s">
        <v>0</v>
      </c>
      <c r="BB10" s="3" t="s">
        <v>21</v>
      </c>
      <c r="BC10" s="3" t="s">
        <v>22</v>
      </c>
      <c r="BH10" s="60" t="s">
        <v>11</v>
      </c>
      <c r="BI10" s="61"/>
      <c r="BJ10" s="54" t="s">
        <v>0</v>
      </c>
      <c r="BK10" s="54" t="s">
        <v>21</v>
      </c>
      <c r="BL10" s="55" t="s">
        <v>22</v>
      </c>
      <c r="BM10" s="54" t="s">
        <v>0</v>
      </c>
      <c r="BN10" s="54" t="s">
        <v>21</v>
      </c>
      <c r="BO10" s="55" t="s">
        <v>22</v>
      </c>
    </row>
    <row r="11" spans="2:67" x14ac:dyDescent="0.25">
      <c r="C11" s="67" t="s">
        <v>13</v>
      </c>
      <c r="D11" s="74"/>
      <c r="E11" s="2"/>
      <c r="F11" s="4">
        <v>256</v>
      </c>
      <c r="G11" s="2">
        <v>256</v>
      </c>
      <c r="H11" s="7">
        <v>256</v>
      </c>
      <c r="I11" s="8"/>
      <c r="J11" s="4">
        <v>256</v>
      </c>
      <c r="K11" s="2">
        <v>256</v>
      </c>
      <c r="L11" s="7">
        <v>256</v>
      </c>
      <c r="M11" s="8"/>
      <c r="N11" s="4"/>
      <c r="O11" s="2"/>
      <c r="P11" s="2"/>
      <c r="R11" s="2"/>
      <c r="S11" s="4">
        <v>256</v>
      </c>
      <c r="T11" s="2">
        <v>256</v>
      </c>
      <c r="U11" s="7">
        <v>256</v>
      </c>
      <c r="V11" s="8"/>
      <c r="W11" s="4">
        <v>256</v>
      </c>
      <c r="X11" s="2">
        <v>256</v>
      </c>
      <c r="Y11" s="7">
        <v>256</v>
      </c>
      <c r="Z11" s="8"/>
      <c r="AA11" s="4"/>
      <c r="AB11" s="2"/>
      <c r="AC11" s="2"/>
      <c r="AE11" s="2"/>
      <c r="AF11" s="4">
        <v>256</v>
      </c>
      <c r="AG11" s="2">
        <v>256</v>
      </c>
      <c r="AH11" s="7">
        <v>256</v>
      </c>
      <c r="AI11" s="8"/>
      <c r="AJ11" s="41">
        <v>256</v>
      </c>
      <c r="AK11" s="41">
        <v>256</v>
      </c>
      <c r="AL11" s="42">
        <v>256</v>
      </c>
      <c r="AM11" s="8"/>
      <c r="AN11" s="4">
        <v>256</v>
      </c>
      <c r="AO11" s="2">
        <v>256</v>
      </c>
      <c r="AP11" s="2">
        <v>256</v>
      </c>
      <c r="AR11" s="2"/>
      <c r="AS11" s="4">
        <v>256</v>
      </c>
      <c r="AT11" s="2">
        <v>256</v>
      </c>
      <c r="AU11" s="7">
        <v>256</v>
      </c>
      <c r="AV11" s="8"/>
      <c r="AW11" s="4">
        <v>256</v>
      </c>
      <c r="AX11" s="2">
        <v>256</v>
      </c>
      <c r="AY11" s="7">
        <v>256</v>
      </c>
      <c r="AZ11" s="8"/>
      <c r="BA11" s="4"/>
      <c r="BB11" s="2"/>
      <c r="BC11" s="2"/>
      <c r="BH11" s="63" t="s">
        <v>13</v>
      </c>
      <c r="BI11" s="64"/>
      <c r="BJ11" s="50">
        <v>256</v>
      </c>
      <c r="BK11" s="50">
        <v>256</v>
      </c>
      <c r="BL11" s="51">
        <v>256</v>
      </c>
      <c r="BM11" s="50">
        <v>256</v>
      </c>
      <c r="BN11" s="50">
        <v>256</v>
      </c>
      <c r="BO11" s="51">
        <v>256</v>
      </c>
    </row>
    <row r="12" spans="2:67" x14ac:dyDescent="0.25">
      <c r="C12" s="75" t="s">
        <v>1</v>
      </c>
      <c r="D12" s="76"/>
      <c r="E12" s="2"/>
      <c r="F12" s="4">
        <v>45</v>
      </c>
      <c r="G12" s="2">
        <v>54</v>
      </c>
      <c r="H12" s="7">
        <v>60</v>
      </c>
      <c r="I12" s="8"/>
      <c r="J12" s="4">
        <v>44</v>
      </c>
      <c r="K12" s="2">
        <v>42</v>
      </c>
      <c r="L12" s="7">
        <v>69</v>
      </c>
      <c r="M12" s="8"/>
      <c r="N12" s="4"/>
      <c r="O12" s="2"/>
      <c r="P12" s="2"/>
      <c r="R12" s="2"/>
      <c r="S12" s="4">
        <v>37</v>
      </c>
      <c r="T12" s="2">
        <v>48</v>
      </c>
      <c r="U12" s="7">
        <v>59</v>
      </c>
      <c r="V12" s="8"/>
      <c r="W12" s="4">
        <v>37</v>
      </c>
      <c r="X12" s="2">
        <v>46</v>
      </c>
      <c r="Y12" s="7">
        <v>67</v>
      </c>
      <c r="Z12" s="8"/>
      <c r="AA12" s="4"/>
      <c r="AB12" s="2"/>
      <c r="AC12" s="2"/>
      <c r="AE12" s="2"/>
      <c r="AF12" s="4">
        <v>36</v>
      </c>
      <c r="AG12" s="2">
        <v>41</v>
      </c>
      <c r="AH12" s="7">
        <v>65</v>
      </c>
      <c r="AI12" s="8"/>
      <c r="AJ12" s="41">
        <v>28</v>
      </c>
      <c r="AK12" s="41">
        <v>47</v>
      </c>
      <c r="AL12" s="42">
        <v>74</v>
      </c>
      <c r="AM12" s="8"/>
      <c r="AN12" s="4">
        <v>42</v>
      </c>
      <c r="AO12" s="2">
        <v>46</v>
      </c>
      <c r="AP12" s="2">
        <v>70</v>
      </c>
      <c r="AR12" s="2"/>
      <c r="AS12" s="4">
        <v>29</v>
      </c>
      <c r="AT12" s="2">
        <v>44</v>
      </c>
      <c r="AU12" s="7">
        <v>68</v>
      </c>
      <c r="AV12" s="8"/>
      <c r="AW12" s="4">
        <v>42</v>
      </c>
      <c r="AX12" s="2">
        <v>52</v>
      </c>
      <c r="AY12" s="7">
        <v>63</v>
      </c>
      <c r="AZ12" s="8"/>
      <c r="BA12" s="4"/>
      <c r="BB12" s="2"/>
      <c r="BC12" s="2"/>
      <c r="BH12" s="65" t="s">
        <v>1</v>
      </c>
      <c r="BI12" s="66"/>
      <c r="BJ12" s="50">
        <v>28</v>
      </c>
      <c r="BK12" s="50">
        <v>47</v>
      </c>
      <c r="BL12" s="51">
        <v>74</v>
      </c>
      <c r="BM12" s="50">
        <v>42</v>
      </c>
      <c r="BN12" s="50">
        <v>46</v>
      </c>
      <c r="BO12" s="51">
        <v>70</v>
      </c>
    </row>
    <row r="13" spans="2:67" x14ac:dyDescent="0.25">
      <c r="C13" s="1"/>
      <c r="D13" s="9" t="s">
        <v>14</v>
      </c>
      <c r="E13" s="30" t="e">
        <f t="shared" ref="E13:P13" si="0">E12/E11</f>
        <v>#DIV/0!</v>
      </c>
      <c r="F13" s="13">
        <f t="shared" si="0"/>
        <v>0.17578125</v>
      </c>
      <c r="G13" s="30">
        <f t="shared" si="0"/>
        <v>0.2109375</v>
      </c>
      <c r="H13" s="31">
        <f t="shared" si="0"/>
        <v>0.234375</v>
      </c>
      <c r="I13" s="34" t="e">
        <f t="shared" si="0"/>
        <v>#DIV/0!</v>
      </c>
      <c r="J13" s="13">
        <f t="shared" si="0"/>
        <v>0.171875</v>
      </c>
      <c r="K13" s="30">
        <f t="shared" si="0"/>
        <v>0.1640625</v>
      </c>
      <c r="L13" s="31">
        <f t="shared" si="0"/>
        <v>0.26953125</v>
      </c>
      <c r="M13" s="34" t="e">
        <f t="shared" si="0"/>
        <v>#DIV/0!</v>
      </c>
      <c r="N13" s="13" t="e">
        <f t="shared" si="0"/>
        <v>#DIV/0!</v>
      </c>
      <c r="O13" s="30" t="e">
        <f t="shared" si="0"/>
        <v>#DIV/0!</v>
      </c>
      <c r="P13" s="30" t="e">
        <f t="shared" si="0"/>
        <v>#DIV/0!</v>
      </c>
      <c r="R13" s="30" t="e">
        <f t="shared" ref="R13" si="1">R12/R11</f>
        <v>#DIV/0!</v>
      </c>
      <c r="S13" s="13">
        <f t="shared" ref="S13" si="2">S12/S11</f>
        <v>0.14453125</v>
      </c>
      <c r="T13" s="30">
        <f t="shared" ref="T13" si="3">T12/T11</f>
        <v>0.1875</v>
      </c>
      <c r="U13" s="31">
        <f t="shared" ref="U13" si="4">U12/U11</f>
        <v>0.23046875</v>
      </c>
      <c r="V13" s="34" t="e">
        <f t="shared" ref="V13" si="5">V12/V11</f>
        <v>#DIV/0!</v>
      </c>
      <c r="W13" s="13">
        <f t="shared" ref="W13" si="6">W12/W11</f>
        <v>0.14453125</v>
      </c>
      <c r="X13" s="30">
        <f t="shared" ref="X13" si="7">X12/X11</f>
        <v>0.1796875</v>
      </c>
      <c r="Y13" s="31">
        <f t="shared" ref="Y13" si="8">Y12/Y11</f>
        <v>0.26171875</v>
      </c>
      <c r="Z13" s="34" t="e">
        <f t="shared" ref="Z13" si="9">Z12/Z11</f>
        <v>#DIV/0!</v>
      </c>
      <c r="AA13" s="13" t="e">
        <f t="shared" ref="AA13" si="10">AA12/AA11</f>
        <v>#DIV/0!</v>
      </c>
      <c r="AB13" s="30" t="e">
        <f t="shared" ref="AB13" si="11">AB12/AB11</f>
        <v>#DIV/0!</v>
      </c>
      <c r="AC13" s="30" t="e">
        <f t="shared" ref="AC13" si="12">AC12/AC11</f>
        <v>#DIV/0!</v>
      </c>
      <c r="AE13" s="30" t="e">
        <f t="shared" ref="AE13:AP13" si="13">AE12/AE11</f>
        <v>#DIV/0!</v>
      </c>
      <c r="AF13" s="13">
        <f t="shared" si="13"/>
        <v>0.140625</v>
      </c>
      <c r="AG13" s="30">
        <f t="shared" si="13"/>
        <v>0.16015625</v>
      </c>
      <c r="AH13" s="31">
        <f t="shared" si="13"/>
        <v>0.25390625</v>
      </c>
      <c r="AI13" s="34" t="e">
        <f t="shared" si="13"/>
        <v>#DIV/0!</v>
      </c>
      <c r="AJ13" s="43">
        <f t="shared" si="13"/>
        <v>0.109375</v>
      </c>
      <c r="AK13" s="43">
        <f t="shared" si="13"/>
        <v>0.18359375</v>
      </c>
      <c r="AL13" s="44">
        <f t="shared" si="13"/>
        <v>0.2890625</v>
      </c>
      <c r="AM13" s="34" t="e">
        <f t="shared" si="13"/>
        <v>#DIV/0!</v>
      </c>
      <c r="AN13" s="13">
        <f t="shared" si="13"/>
        <v>0.1640625</v>
      </c>
      <c r="AO13" s="30">
        <f t="shared" si="13"/>
        <v>0.1796875</v>
      </c>
      <c r="AP13" s="30">
        <f t="shared" si="13"/>
        <v>0.2734375</v>
      </c>
      <c r="AR13" s="30" t="e">
        <f t="shared" ref="AR13:BC13" si="14">AR12/AR11</f>
        <v>#DIV/0!</v>
      </c>
      <c r="AS13" s="13">
        <f t="shared" si="14"/>
        <v>0.11328125</v>
      </c>
      <c r="AT13" s="30">
        <f t="shared" si="14"/>
        <v>0.171875</v>
      </c>
      <c r="AU13" s="31">
        <f t="shared" si="14"/>
        <v>0.265625</v>
      </c>
      <c r="AV13" s="34" t="e">
        <f t="shared" si="14"/>
        <v>#DIV/0!</v>
      </c>
      <c r="AW13" s="13">
        <f t="shared" si="14"/>
        <v>0.1640625</v>
      </c>
      <c r="AX13" s="30">
        <f t="shared" si="14"/>
        <v>0.203125</v>
      </c>
      <c r="AY13" s="31">
        <f t="shared" si="14"/>
        <v>0.24609375</v>
      </c>
      <c r="AZ13" s="34" t="e">
        <f t="shared" si="14"/>
        <v>#DIV/0!</v>
      </c>
      <c r="BA13" s="13" t="e">
        <f t="shared" si="14"/>
        <v>#DIV/0!</v>
      </c>
      <c r="BB13" s="30" t="e">
        <f t="shared" si="14"/>
        <v>#DIV/0!</v>
      </c>
      <c r="BC13" s="30" t="e">
        <f t="shared" si="14"/>
        <v>#DIV/0!</v>
      </c>
      <c r="BH13" s="48"/>
      <c r="BI13" s="49" t="s">
        <v>14</v>
      </c>
      <c r="BJ13" s="52">
        <f t="shared" ref="BJ13:BO13" si="15">BJ12/BJ11</f>
        <v>0.109375</v>
      </c>
      <c r="BK13" s="52">
        <f t="shared" si="15"/>
        <v>0.18359375</v>
      </c>
      <c r="BL13" s="53">
        <f t="shared" si="15"/>
        <v>0.2890625</v>
      </c>
      <c r="BM13" s="52">
        <f t="shared" si="15"/>
        <v>0.1640625</v>
      </c>
      <c r="BN13" s="52">
        <f t="shared" si="15"/>
        <v>0.1796875</v>
      </c>
      <c r="BO13" s="53">
        <f t="shared" si="15"/>
        <v>0.2734375</v>
      </c>
    </row>
    <row r="14" spans="2:67" x14ac:dyDescent="0.25">
      <c r="C14" s="75" t="s">
        <v>2</v>
      </c>
      <c r="D14" s="76"/>
      <c r="E14" s="2"/>
      <c r="F14" s="4">
        <v>14</v>
      </c>
      <c r="G14" s="2">
        <v>9</v>
      </c>
      <c r="H14" s="7">
        <v>16</v>
      </c>
      <c r="I14" s="8"/>
      <c r="J14" s="4">
        <v>7</v>
      </c>
      <c r="K14" s="2">
        <v>15</v>
      </c>
      <c r="L14" s="7">
        <v>17</v>
      </c>
      <c r="M14" s="8"/>
      <c r="N14" s="4"/>
      <c r="O14" s="2"/>
      <c r="P14" s="2"/>
      <c r="R14" s="2"/>
      <c r="S14" s="4">
        <v>13</v>
      </c>
      <c r="T14" s="2">
        <v>10</v>
      </c>
      <c r="U14" s="7">
        <v>12</v>
      </c>
      <c r="V14" s="8"/>
      <c r="W14" s="4">
        <v>9</v>
      </c>
      <c r="X14" s="2">
        <v>17</v>
      </c>
      <c r="Y14" s="7">
        <v>12</v>
      </c>
      <c r="Z14" s="8"/>
      <c r="AA14" s="4"/>
      <c r="AB14" s="2"/>
      <c r="AC14" s="2"/>
      <c r="AE14" s="2"/>
      <c r="AF14" s="4">
        <v>13</v>
      </c>
      <c r="AG14" s="2">
        <v>15</v>
      </c>
      <c r="AH14" s="7">
        <v>20</v>
      </c>
      <c r="AI14" s="8"/>
      <c r="AJ14" s="41">
        <v>15</v>
      </c>
      <c r="AK14" s="41">
        <v>14</v>
      </c>
      <c r="AL14" s="42">
        <v>29</v>
      </c>
      <c r="AM14" s="8"/>
      <c r="AN14" s="4">
        <v>19</v>
      </c>
      <c r="AO14" s="2">
        <v>13</v>
      </c>
      <c r="AP14" s="2">
        <v>14</v>
      </c>
      <c r="AR14" s="2"/>
      <c r="AS14" s="4">
        <v>11</v>
      </c>
      <c r="AT14" s="2">
        <v>8</v>
      </c>
      <c r="AU14" s="7">
        <v>19</v>
      </c>
      <c r="AV14" s="8"/>
      <c r="AW14" s="4">
        <v>8</v>
      </c>
      <c r="AX14" s="2">
        <v>11</v>
      </c>
      <c r="AY14" s="7">
        <v>16</v>
      </c>
      <c r="AZ14" s="8"/>
      <c r="BA14" s="4"/>
      <c r="BB14" s="2"/>
      <c r="BC14" s="2"/>
      <c r="BH14" s="65" t="s">
        <v>2</v>
      </c>
      <c r="BI14" s="66"/>
      <c r="BJ14" s="50">
        <v>15</v>
      </c>
      <c r="BK14" s="50">
        <v>14</v>
      </c>
      <c r="BL14" s="51">
        <v>29</v>
      </c>
      <c r="BM14" s="50">
        <v>19</v>
      </c>
      <c r="BN14" s="50">
        <v>13</v>
      </c>
      <c r="BO14" s="51">
        <v>14</v>
      </c>
    </row>
    <row r="15" spans="2:67" x14ac:dyDescent="0.25">
      <c r="C15" s="1"/>
      <c r="D15" s="9" t="s">
        <v>16</v>
      </c>
      <c r="E15" s="30" t="e">
        <f t="shared" ref="E15:P15" si="16">E14/E11</f>
        <v>#DIV/0!</v>
      </c>
      <c r="F15" s="13">
        <f t="shared" si="16"/>
        <v>5.46875E-2</v>
      </c>
      <c r="G15" s="30">
        <f t="shared" si="16"/>
        <v>3.515625E-2</v>
      </c>
      <c r="H15" s="31">
        <f t="shared" si="16"/>
        <v>6.25E-2</v>
      </c>
      <c r="I15" s="34" t="e">
        <f t="shared" si="16"/>
        <v>#DIV/0!</v>
      </c>
      <c r="J15" s="13">
        <f t="shared" si="16"/>
        <v>2.734375E-2</v>
      </c>
      <c r="K15" s="30">
        <f t="shared" si="16"/>
        <v>5.859375E-2</v>
      </c>
      <c r="L15" s="31">
        <f t="shared" si="16"/>
        <v>6.640625E-2</v>
      </c>
      <c r="M15" s="34" t="e">
        <f t="shared" si="16"/>
        <v>#DIV/0!</v>
      </c>
      <c r="N15" s="13" t="e">
        <f t="shared" si="16"/>
        <v>#DIV/0!</v>
      </c>
      <c r="O15" s="30" t="e">
        <f t="shared" si="16"/>
        <v>#DIV/0!</v>
      </c>
      <c r="P15" s="30" t="e">
        <f t="shared" si="16"/>
        <v>#DIV/0!</v>
      </c>
      <c r="R15" s="30" t="e">
        <f t="shared" ref="R15" si="17">R14/R11</f>
        <v>#DIV/0!</v>
      </c>
      <c r="S15" s="13">
        <f t="shared" ref="S15" si="18">S14/S11</f>
        <v>5.078125E-2</v>
      </c>
      <c r="T15" s="30">
        <f t="shared" ref="T15" si="19">T14/T11</f>
        <v>3.90625E-2</v>
      </c>
      <c r="U15" s="31">
        <f t="shared" ref="U15" si="20">U14/U11</f>
        <v>4.6875E-2</v>
      </c>
      <c r="V15" s="34" t="e">
        <f t="shared" ref="V15" si="21">V14/V11</f>
        <v>#DIV/0!</v>
      </c>
      <c r="W15" s="13">
        <f t="shared" ref="W15" si="22">W14/W11</f>
        <v>3.515625E-2</v>
      </c>
      <c r="X15" s="30">
        <f t="shared" ref="X15" si="23">X14/X11</f>
        <v>6.640625E-2</v>
      </c>
      <c r="Y15" s="31">
        <f t="shared" ref="Y15" si="24">Y14/Y11</f>
        <v>4.6875E-2</v>
      </c>
      <c r="Z15" s="34" t="e">
        <f t="shared" ref="Z15" si="25">Z14/Z11</f>
        <v>#DIV/0!</v>
      </c>
      <c r="AA15" s="13" t="e">
        <f t="shared" ref="AA15" si="26">AA14/AA11</f>
        <v>#DIV/0!</v>
      </c>
      <c r="AB15" s="30" t="e">
        <f t="shared" ref="AB15" si="27">AB14/AB11</f>
        <v>#DIV/0!</v>
      </c>
      <c r="AC15" s="30" t="e">
        <f t="shared" ref="AC15" si="28">AC14/AC11</f>
        <v>#DIV/0!</v>
      </c>
      <c r="AE15" s="30" t="e">
        <f t="shared" ref="AE15:AP15" si="29">AE14/AE11</f>
        <v>#DIV/0!</v>
      </c>
      <c r="AF15" s="13">
        <f t="shared" si="29"/>
        <v>5.078125E-2</v>
      </c>
      <c r="AG15" s="30">
        <f t="shared" si="29"/>
        <v>5.859375E-2</v>
      </c>
      <c r="AH15" s="31">
        <f t="shared" si="29"/>
        <v>7.8125E-2</v>
      </c>
      <c r="AI15" s="34" t="e">
        <f t="shared" si="29"/>
        <v>#DIV/0!</v>
      </c>
      <c r="AJ15" s="43">
        <f t="shared" si="29"/>
        <v>5.859375E-2</v>
      </c>
      <c r="AK15" s="43">
        <f t="shared" si="29"/>
        <v>5.46875E-2</v>
      </c>
      <c r="AL15" s="44">
        <f t="shared" si="29"/>
        <v>0.11328125</v>
      </c>
      <c r="AM15" s="34" t="e">
        <f t="shared" si="29"/>
        <v>#DIV/0!</v>
      </c>
      <c r="AN15" s="13">
        <f t="shared" si="29"/>
        <v>7.421875E-2</v>
      </c>
      <c r="AO15" s="30">
        <f t="shared" si="29"/>
        <v>5.078125E-2</v>
      </c>
      <c r="AP15" s="30">
        <f t="shared" si="29"/>
        <v>5.46875E-2</v>
      </c>
      <c r="AR15" s="30" t="e">
        <f t="shared" ref="AR15:BC15" si="30">AR14/AR11</f>
        <v>#DIV/0!</v>
      </c>
      <c r="AS15" s="13">
        <f t="shared" si="30"/>
        <v>4.296875E-2</v>
      </c>
      <c r="AT15" s="30">
        <f t="shared" si="30"/>
        <v>3.125E-2</v>
      </c>
      <c r="AU15" s="31">
        <f t="shared" si="30"/>
        <v>7.421875E-2</v>
      </c>
      <c r="AV15" s="34" t="e">
        <f t="shared" si="30"/>
        <v>#DIV/0!</v>
      </c>
      <c r="AW15" s="13">
        <f t="shared" si="30"/>
        <v>3.125E-2</v>
      </c>
      <c r="AX15" s="30">
        <f t="shared" si="30"/>
        <v>4.296875E-2</v>
      </c>
      <c r="AY15" s="31">
        <f t="shared" si="30"/>
        <v>6.25E-2</v>
      </c>
      <c r="AZ15" s="34" t="e">
        <f t="shared" si="30"/>
        <v>#DIV/0!</v>
      </c>
      <c r="BA15" s="13" t="e">
        <f t="shared" si="30"/>
        <v>#DIV/0!</v>
      </c>
      <c r="BB15" s="30" t="e">
        <f t="shared" si="30"/>
        <v>#DIV/0!</v>
      </c>
      <c r="BC15" s="30" t="e">
        <f t="shared" si="30"/>
        <v>#DIV/0!</v>
      </c>
      <c r="BH15" s="48"/>
      <c r="BI15" s="49" t="s">
        <v>16</v>
      </c>
      <c r="BJ15" s="52">
        <f t="shared" ref="BJ15:BO15" si="31">BJ14/BJ11</f>
        <v>5.859375E-2</v>
      </c>
      <c r="BK15" s="52">
        <f t="shared" si="31"/>
        <v>5.46875E-2</v>
      </c>
      <c r="BL15" s="53">
        <f t="shared" si="31"/>
        <v>0.11328125</v>
      </c>
      <c r="BM15" s="52">
        <f t="shared" si="31"/>
        <v>7.421875E-2</v>
      </c>
      <c r="BN15" s="52">
        <f t="shared" si="31"/>
        <v>5.078125E-2</v>
      </c>
      <c r="BO15" s="53">
        <f t="shared" si="31"/>
        <v>5.46875E-2</v>
      </c>
    </row>
    <row r="16" spans="2:67" x14ac:dyDescent="0.25">
      <c r="C16" s="67"/>
      <c r="D16" s="68"/>
      <c r="E16" s="67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9"/>
      <c r="R16" s="67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9"/>
      <c r="AE16" s="67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R16" s="67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9"/>
      <c r="BH16" s="65" t="s">
        <v>9</v>
      </c>
      <c r="BI16" s="66"/>
      <c r="BJ16" s="50">
        <v>7.9</v>
      </c>
      <c r="BK16" s="50">
        <v>7.6</v>
      </c>
      <c r="BL16" s="51">
        <v>7.6</v>
      </c>
      <c r="BM16" s="50">
        <v>10.8</v>
      </c>
      <c r="BN16" s="50">
        <v>10.9</v>
      </c>
      <c r="BO16" s="51">
        <v>11</v>
      </c>
    </row>
    <row r="17" spans="2:67" x14ac:dyDescent="0.25">
      <c r="C17" s="75" t="s">
        <v>3</v>
      </c>
      <c r="D17" s="76"/>
      <c r="E17" s="2"/>
      <c r="F17" s="4">
        <v>0.78</v>
      </c>
      <c r="G17" s="2">
        <v>0.76</v>
      </c>
      <c r="H17" s="7">
        <v>0.72</v>
      </c>
      <c r="I17" s="8"/>
      <c r="J17" s="4">
        <v>0.81</v>
      </c>
      <c r="K17" s="2">
        <v>0.79</v>
      </c>
      <c r="L17" s="7">
        <v>0.69</v>
      </c>
      <c r="M17" s="8"/>
      <c r="N17" s="4"/>
      <c r="O17" s="2"/>
      <c r="P17" s="2"/>
      <c r="R17" s="2"/>
      <c r="S17" s="4">
        <v>0.81</v>
      </c>
      <c r="T17" s="2">
        <v>0.78</v>
      </c>
      <c r="U17" s="7">
        <v>0.74</v>
      </c>
      <c r="V17" s="8"/>
      <c r="W17" s="4">
        <v>0.83</v>
      </c>
      <c r="X17" s="2">
        <v>0.77</v>
      </c>
      <c r="Y17" s="7">
        <v>0.71</v>
      </c>
      <c r="Z17" s="8"/>
      <c r="AA17" s="4"/>
      <c r="AB17" s="2"/>
      <c r="AC17" s="2"/>
      <c r="AE17" s="2"/>
      <c r="AF17" s="4">
        <v>0.81</v>
      </c>
      <c r="AG17" s="2">
        <v>0.79</v>
      </c>
      <c r="AH17" s="7">
        <v>0.69</v>
      </c>
      <c r="AI17" s="8"/>
      <c r="AJ17" s="4">
        <v>0.84</v>
      </c>
      <c r="AK17" s="2">
        <v>0.77</v>
      </c>
      <c r="AL17" s="7">
        <v>0.64</v>
      </c>
      <c r="AM17" s="8"/>
      <c r="AN17" s="4">
        <v>0.78</v>
      </c>
      <c r="AO17" s="2">
        <v>0.78</v>
      </c>
      <c r="AP17" s="2">
        <v>0.69</v>
      </c>
      <c r="AR17" s="2"/>
      <c r="AS17" s="4">
        <v>0.85</v>
      </c>
      <c r="AT17" s="2">
        <v>0.8</v>
      </c>
      <c r="AU17" s="7">
        <v>0.68</v>
      </c>
      <c r="AV17" s="8"/>
      <c r="AW17" s="4">
        <v>0.81</v>
      </c>
      <c r="AX17" s="2">
        <v>0.76</v>
      </c>
      <c r="AY17" s="7">
        <v>0.71</v>
      </c>
      <c r="AZ17" s="8"/>
      <c r="BA17" s="4"/>
      <c r="BB17" s="2"/>
      <c r="BC17" s="2"/>
    </row>
    <row r="18" spans="2:67" x14ac:dyDescent="0.25">
      <c r="C18" s="75" t="s">
        <v>4</v>
      </c>
      <c r="D18" s="76"/>
      <c r="E18" s="2"/>
      <c r="F18" s="4">
        <v>0.94</v>
      </c>
      <c r="G18" s="2">
        <v>0.93</v>
      </c>
      <c r="H18" s="7">
        <v>0.84</v>
      </c>
      <c r="I18" s="8"/>
      <c r="J18" s="4">
        <v>0.97</v>
      </c>
      <c r="K18" s="2">
        <v>0.92</v>
      </c>
      <c r="L18" s="7">
        <v>0.81</v>
      </c>
      <c r="M18" s="8"/>
      <c r="N18" s="4"/>
      <c r="O18" s="2"/>
      <c r="P18" s="2"/>
      <c r="R18" s="2"/>
      <c r="S18" s="4">
        <v>0.94</v>
      </c>
      <c r="T18" s="2">
        <v>0.94</v>
      </c>
      <c r="U18" s="7">
        <v>0.83</v>
      </c>
      <c r="V18" s="8"/>
      <c r="W18" s="4">
        <v>0.96</v>
      </c>
      <c r="X18" s="2">
        <v>0.92</v>
      </c>
      <c r="Y18" s="7">
        <v>0.83</v>
      </c>
      <c r="Z18" s="8"/>
      <c r="AA18" s="4"/>
      <c r="AB18" s="2"/>
      <c r="AC18" s="2"/>
      <c r="AE18" s="2"/>
      <c r="AF18" s="4">
        <v>0.94</v>
      </c>
      <c r="AG18" s="2">
        <v>0.9</v>
      </c>
      <c r="AH18" s="7">
        <v>0.8</v>
      </c>
      <c r="AI18" s="8"/>
      <c r="AJ18" s="4">
        <v>0.94</v>
      </c>
      <c r="AK18" s="2">
        <v>0.91</v>
      </c>
      <c r="AL18" s="7">
        <v>0.75</v>
      </c>
      <c r="AM18" s="8"/>
      <c r="AN18" s="4">
        <v>0.92</v>
      </c>
      <c r="AO18" s="2">
        <v>0.93</v>
      </c>
      <c r="AP18" s="2">
        <v>0.81</v>
      </c>
      <c r="AR18" s="2"/>
      <c r="AS18" s="4">
        <v>0.95</v>
      </c>
      <c r="AT18" s="2">
        <v>0.93</v>
      </c>
      <c r="AU18" s="7">
        <v>0.82</v>
      </c>
      <c r="AV18" s="8"/>
      <c r="AW18" s="4">
        <v>0.96</v>
      </c>
      <c r="AX18" s="2">
        <v>0.93</v>
      </c>
      <c r="AY18" s="7">
        <v>0.82</v>
      </c>
      <c r="AZ18" s="8"/>
      <c r="BA18" s="4"/>
      <c r="BB18" s="2"/>
      <c r="BC18" s="2"/>
    </row>
    <row r="19" spans="2:67" x14ac:dyDescent="0.25">
      <c r="C19" s="75" t="s">
        <v>5</v>
      </c>
      <c r="D19" s="76"/>
      <c r="E19" s="2"/>
      <c r="F19" s="4">
        <v>0.82</v>
      </c>
      <c r="G19" s="2">
        <v>0.78</v>
      </c>
      <c r="H19" s="7">
        <v>0.76</v>
      </c>
      <c r="I19" s="8"/>
      <c r="J19" s="4">
        <v>0.83</v>
      </c>
      <c r="K19" s="2">
        <v>0.84</v>
      </c>
      <c r="L19" s="7">
        <v>0.72</v>
      </c>
      <c r="M19" s="8"/>
      <c r="N19" s="4"/>
      <c r="O19" s="2"/>
      <c r="P19" s="2"/>
      <c r="R19" s="2"/>
      <c r="S19" s="4">
        <v>0.86</v>
      </c>
      <c r="T19" s="2">
        <v>0.8</v>
      </c>
      <c r="U19" s="7">
        <v>0.76</v>
      </c>
      <c r="V19" s="8"/>
      <c r="W19" s="4">
        <v>0.86</v>
      </c>
      <c r="X19" s="2">
        <v>0.81</v>
      </c>
      <c r="Y19" s="7">
        <v>0.73</v>
      </c>
      <c r="Z19" s="8"/>
      <c r="AA19" s="4"/>
      <c r="AB19" s="2"/>
      <c r="AC19" s="2"/>
      <c r="AE19" s="2"/>
      <c r="AF19" s="4">
        <v>0.86</v>
      </c>
      <c r="AG19" s="2">
        <v>0.83</v>
      </c>
      <c r="AH19" s="7">
        <v>0.74</v>
      </c>
      <c r="AI19" s="8"/>
      <c r="AJ19" s="4">
        <v>0.89</v>
      </c>
      <c r="AK19" s="2">
        <v>0.81</v>
      </c>
      <c r="AL19" s="7">
        <v>0.7</v>
      </c>
      <c r="AM19" s="8"/>
      <c r="AN19" s="4">
        <v>0.84</v>
      </c>
      <c r="AO19" s="2">
        <v>0.82</v>
      </c>
      <c r="AP19" s="2">
        <v>0.72</v>
      </c>
      <c r="AR19" s="2"/>
      <c r="AS19" s="4">
        <v>0.89</v>
      </c>
      <c r="AT19" s="2">
        <v>0.82</v>
      </c>
      <c r="AU19" s="7">
        <v>0.72</v>
      </c>
      <c r="AV19" s="8"/>
      <c r="AW19" s="4">
        <v>0.84</v>
      </c>
      <c r="AX19" s="2">
        <v>0.79</v>
      </c>
      <c r="AY19" s="7">
        <v>0.74</v>
      </c>
      <c r="AZ19" s="8"/>
      <c r="BA19" s="4"/>
      <c r="BB19" s="2"/>
      <c r="BC19" s="2"/>
    </row>
    <row r="20" spans="2:67" x14ac:dyDescent="0.25">
      <c r="C20" s="75" t="s">
        <v>6</v>
      </c>
      <c r="D20" s="76"/>
      <c r="E20" s="2"/>
      <c r="F20" s="4">
        <v>0.88</v>
      </c>
      <c r="G20" s="2">
        <v>0.85</v>
      </c>
      <c r="H20" s="7">
        <v>0.79</v>
      </c>
      <c r="I20" s="8"/>
      <c r="J20" s="4">
        <v>0.89</v>
      </c>
      <c r="K20" s="2">
        <v>0.88</v>
      </c>
      <c r="L20" s="7">
        <v>0.76</v>
      </c>
      <c r="M20" s="8"/>
      <c r="N20" s="4"/>
      <c r="O20" s="2"/>
      <c r="P20" s="2"/>
      <c r="R20" s="2"/>
      <c r="S20" s="4">
        <v>0.9</v>
      </c>
      <c r="T20" s="2">
        <v>0.87</v>
      </c>
      <c r="U20" s="7">
        <v>0.8</v>
      </c>
      <c r="V20" s="8"/>
      <c r="W20" s="4">
        <v>0.9</v>
      </c>
      <c r="X20" s="2">
        <v>0.86</v>
      </c>
      <c r="Y20" s="7">
        <v>0.77</v>
      </c>
      <c r="Z20" s="8"/>
      <c r="AA20" s="4"/>
      <c r="AB20" s="2"/>
      <c r="AC20" s="2"/>
      <c r="AE20" s="2"/>
      <c r="AF20" s="4">
        <v>0.9</v>
      </c>
      <c r="AG20" s="2">
        <v>0.87</v>
      </c>
      <c r="AH20" s="7">
        <v>0.77</v>
      </c>
      <c r="AI20" s="8"/>
      <c r="AJ20" s="4">
        <v>0.91</v>
      </c>
      <c r="AK20" s="2">
        <v>0.86</v>
      </c>
      <c r="AL20" s="7">
        <v>0.73</v>
      </c>
      <c r="AM20" s="8"/>
      <c r="AN20" s="4">
        <v>0.88</v>
      </c>
      <c r="AO20" s="2">
        <v>0.87</v>
      </c>
      <c r="AP20" s="2">
        <v>0.76</v>
      </c>
      <c r="AR20" s="2"/>
      <c r="AS20" s="4">
        <v>0.92</v>
      </c>
      <c r="AT20" s="2">
        <v>0.88</v>
      </c>
      <c r="AU20" s="7">
        <v>0.76</v>
      </c>
      <c r="AV20" s="8"/>
      <c r="AW20" s="4">
        <v>0.9</v>
      </c>
      <c r="AX20" s="2">
        <v>0.85</v>
      </c>
      <c r="AY20" s="7">
        <v>0.78</v>
      </c>
      <c r="AZ20" s="8"/>
      <c r="BA20" s="4"/>
      <c r="BB20" s="2"/>
      <c r="BC20" s="2"/>
    </row>
    <row r="21" spans="2:67" x14ac:dyDescent="0.25">
      <c r="C21" s="67"/>
      <c r="D21" s="68"/>
      <c r="E21" s="67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9"/>
      <c r="R21" s="67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9"/>
      <c r="AE21" s="67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R21" s="67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9"/>
    </row>
    <row r="22" spans="2:67" x14ac:dyDescent="0.25">
      <c r="C22" s="67" t="s">
        <v>15</v>
      </c>
      <c r="D22" s="74"/>
      <c r="E22" s="19"/>
      <c r="F22" s="23">
        <v>7022326</v>
      </c>
      <c r="G22" s="23">
        <v>7025023</v>
      </c>
      <c r="H22" s="25">
        <v>7027720</v>
      </c>
      <c r="I22" s="21"/>
      <c r="J22" s="23">
        <v>7022326</v>
      </c>
      <c r="K22" s="23">
        <v>7025023</v>
      </c>
      <c r="L22" s="25">
        <v>7027720</v>
      </c>
      <c r="M22" s="21"/>
      <c r="N22" s="19"/>
      <c r="O22" s="19"/>
      <c r="P22" s="19"/>
      <c r="R22" s="19"/>
      <c r="S22" s="23">
        <v>7022326</v>
      </c>
      <c r="T22" s="23">
        <v>7025023</v>
      </c>
      <c r="U22" s="25">
        <v>7027720</v>
      </c>
      <c r="V22" s="21"/>
      <c r="W22" s="23">
        <v>7022326</v>
      </c>
      <c r="X22" s="23">
        <v>7025023</v>
      </c>
      <c r="Y22" s="25">
        <v>7027720</v>
      </c>
      <c r="Z22" s="21"/>
      <c r="AA22" s="19"/>
      <c r="AB22" s="19"/>
      <c r="AC22" s="19"/>
      <c r="AE22" s="19"/>
      <c r="AF22" s="23">
        <v>7022326</v>
      </c>
      <c r="AG22" s="23">
        <v>7025023</v>
      </c>
      <c r="AH22" s="25">
        <v>7027720</v>
      </c>
      <c r="AI22" s="21"/>
      <c r="AJ22" s="23">
        <v>7022326</v>
      </c>
      <c r="AK22" s="23">
        <v>7025023</v>
      </c>
      <c r="AL22" s="25">
        <v>7027720</v>
      </c>
      <c r="AM22" s="21"/>
      <c r="AN22" s="23">
        <v>20871318</v>
      </c>
      <c r="AO22" s="23">
        <v>20875359</v>
      </c>
      <c r="AP22" s="23">
        <v>20879400</v>
      </c>
      <c r="AR22" s="19"/>
      <c r="AS22" s="23">
        <v>7022326</v>
      </c>
      <c r="AT22" s="23">
        <v>7025023</v>
      </c>
      <c r="AU22" s="25">
        <v>7027720</v>
      </c>
      <c r="AV22" s="21"/>
      <c r="AW22" s="23">
        <v>7022326</v>
      </c>
      <c r="AX22" s="23">
        <v>7025023</v>
      </c>
      <c r="AY22" s="25">
        <v>7027720</v>
      </c>
      <c r="AZ22" s="21"/>
      <c r="BA22" s="19"/>
      <c r="BB22" s="19"/>
      <c r="BC22" s="19"/>
      <c r="BH22" s="60" t="s">
        <v>10</v>
      </c>
      <c r="BI22" s="61"/>
      <c r="BJ22" s="62" t="s">
        <v>51</v>
      </c>
      <c r="BK22" s="62"/>
      <c r="BL22" s="62"/>
      <c r="BM22" s="62" t="s">
        <v>52</v>
      </c>
      <c r="BN22" s="62"/>
      <c r="BO22" s="62"/>
    </row>
    <row r="23" spans="2:67" x14ac:dyDescent="0.25">
      <c r="C23" s="67" t="s">
        <v>28</v>
      </c>
      <c r="D23" s="74"/>
      <c r="E23" s="19"/>
      <c r="F23" s="19">
        <v>214</v>
      </c>
      <c r="G23" s="19">
        <v>214</v>
      </c>
      <c r="H23" s="20">
        <v>214</v>
      </c>
      <c r="I23" s="21"/>
      <c r="J23" s="19">
        <v>214</v>
      </c>
      <c r="K23" s="19">
        <v>214</v>
      </c>
      <c r="L23" s="20">
        <v>214</v>
      </c>
      <c r="M23" s="21"/>
      <c r="N23" s="19"/>
      <c r="O23" s="19"/>
      <c r="P23" s="19"/>
      <c r="R23" s="19"/>
      <c r="S23" s="19">
        <v>214</v>
      </c>
      <c r="T23" s="19">
        <v>214</v>
      </c>
      <c r="U23" s="20">
        <v>214</v>
      </c>
      <c r="V23" s="21"/>
      <c r="W23" s="19">
        <v>214</v>
      </c>
      <c r="X23" s="19">
        <v>214</v>
      </c>
      <c r="Y23" s="20">
        <v>214</v>
      </c>
      <c r="Z23" s="21"/>
      <c r="AA23" s="19"/>
      <c r="AB23" s="19"/>
      <c r="AC23" s="19"/>
      <c r="AE23" s="19"/>
      <c r="AF23" s="19">
        <v>214</v>
      </c>
      <c r="AG23" s="19">
        <v>214</v>
      </c>
      <c r="AH23" s="20">
        <v>214</v>
      </c>
      <c r="AI23" s="21"/>
      <c r="AJ23" s="19">
        <v>214</v>
      </c>
      <c r="AK23" s="19">
        <v>214</v>
      </c>
      <c r="AL23" s="20">
        <v>214</v>
      </c>
      <c r="AM23" s="21"/>
      <c r="AN23" s="19">
        <v>291</v>
      </c>
      <c r="AO23" s="19">
        <v>291</v>
      </c>
      <c r="AP23" s="19">
        <v>291</v>
      </c>
      <c r="AR23" s="19"/>
      <c r="AS23" s="19">
        <v>214</v>
      </c>
      <c r="AT23" s="19">
        <v>214</v>
      </c>
      <c r="AU23" s="20">
        <v>214</v>
      </c>
      <c r="AV23" s="21"/>
      <c r="AW23" s="19">
        <v>214</v>
      </c>
      <c r="AX23" s="19">
        <v>214</v>
      </c>
      <c r="AY23" s="20">
        <v>214</v>
      </c>
      <c r="AZ23" s="21"/>
      <c r="BA23" s="19"/>
      <c r="BB23" s="19"/>
      <c r="BC23" s="19"/>
      <c r="BH23" s="60" t="s">
        <v>11</v>
      </c>
      <c r="BI23" s="61"/>
      <c r="BJ23" s="54" t="s">
        <v>0</v>
      </c>
      <c r="BK23" s="54" t="s">
        <v>21</v>
      </c>
      <c r="BL23" s="55" t="s">
        <v>22</v>
      </c>
      <c r="BM23" s="54" t="s">
        <v>0</v>
      </c>
      <c r="BN23" s="54" t="s">
        <v>21</v>
      </c>
      <c r="BO23" s="55" t="s">
        <v>22</v>
      </c>
    </row>
    <row r="24" spans="2:67" x14ac:dyDescent="0.25">
      <c r="C24" s="67" t="s">
        <v>29</v>
      </c>
      <c r="D24" s="74"/>
      <c r="E24" s="19"/>
      <c r="F24" s="19" t="s">
        <v>30</v>
      </c>
      <c r="G24" s="19" t="s">
        <v>34</v>
      </c>
      <c r="H24" s="20" t="s">
        <v>34</v>
      </c>
      <c r="I24" s="21"/>
      <c r="J24" s="19" t="s">
        <v>30</v>
      </c>
      <c r="K24" s="19" t="s">
        <v>34</v>
      </c>
      <c r="L24" s="20" t="s">
        <v>34</v>
      </c>
      <c r="M24" s="21"/>
      <c r="N24" s="19"/>
      <c r="O24" s="19"/>
      <c r="P24" s="19"/>
      <c r="R24" s="19"/>
      <c r="S24" s="19" t="s">
        <v>30</v>
      </c>
      <c r="T24" s="19" t="s">
        <v>34</v>
      </c>
      <c r="U24" s="20" t="s">
        <v>34</v>
      </c>
      <c r="V24" s="21"/>
      <c r="W24" s="19" t="s">
        <v>30</v>
      </c>
      <c r="X24" s="19" t="s">
        <v>34</v>
      </c>
      <c r="Y24" s="20" t="s">
        <v>34</v>
      </c>
      <c r="Z24" s="21"/>
      <c r="AA24" s="19"/>
      <c r="AB24" s="19"/>
      <c r="AC24" s="19"/>
      <c r="AE24" s="19"/>
      <c r="AF24" s="19" t="s">
        <v>30</v>
      </c>
      <c r="AG24" s="19" t="s">
        <v>34</v>
      </c>
      <c r="AH24" s="20" t="s">
        <v>34</v>
      </c>
      <c r="AI24" s="21"/>
      <c r="AJ24" s="19">
        <v>15.9</v>
      </c>
      <c r="AK24" s="19" t="s">
        <v>34</v>
      </c>
      <c r="AL24" s="20" t="s">
        <v>34</v>
      </c>
      <c r="AM24" s="21"/>
      <c r="AN24" s="19" t="s">
        <v>47</v>
      </c>
      <c r="AO24" s="19" t="s">
        <v>47</v>
      </c>
      <c r="AP24" s="19" t="s">
        <v>47</v>
      </c>
      <c r="AR24" s="19"/>
      <c r="AS24" s="19" t="s">
        <v>30</v>
      </c>
      <c r="AT24" s="19" t="s">
        <v>34</v>
      </c>
      <c r="AU24" s="20" t="s">
        <v>34</v>
      </c>
      <c r="AV24" s="21"/>
      <c r="AW24" s="19" t="s">
        <v>30</v>
      </c>
      <c r="AX24" s="19" t="s">
        <v>34</v>
      </c>
      <c r="AY24" s="20" t="s">
        <v>34</v>
      </c>
      <c r="AZ24" s="21"/>
      <c r="BA24" s="19"/>
      <c r="BB24" s="19"/>
      <c r="BC24" s="19"/>
      <c r="BH24" s="63" t="s">
        <v>13</v>
      </c>
      <c r="BI24" s="64"/>
      <c r="BJ24" s="50">
        <v>256</v>
      </c>
      <c r="BK24" s="50">
        <v>256</v>
      </c>
      <c r="BL24" s="51">
        <v>256</v>
      </c>
      <c r="BM24" s="50">
        <v>256</v>
      </c>
      <c r="BN24" s="50">
        <v>256</v>
      </c>
      <c r="BO24" s="51">
        <v>256</v>
      </c>
    </row>
    <row r="25" spans="2:67" x14ac:dyDescent="0.25">
      <c r="C25" s="75" t="s">
        <v>8</v>
      </c>
      <c r="D25" s="76"/>
      <c r="E25" s="2"/>
      <c r="F25" s="26">
        <v>4.2</v>
      </c>
      <c r="G25" s="32">
        <v>6.3</v>
      </c>
      <c r="H25" s="33">
        <v>4.5</v>
      </c>
      <c r="I25" s="8"/>
      <c r="J25" s="4">
        <v>2.5</v>
      </c>
      <c r="K25" s="2">
        <v>2.5</v>
      </c>
      <c r="L25" s="7">
        <v>3.4</v>
      </c>
      <c r="M25" s="8"/>
      <c r="N25" s="4"/>
      <c r="O25" s="2"/>
      <c r="P25" s="2"/>
      <c r="R25" s="2"/>
      <c r="S25" s="4">
        <v>2.4</v>
      </c>
      <c r="T25" s="2">
        <v>2.9</v>
      </c>
      <c r="U25" s="7">
        <v>3.1</v>
      </c>
      <c r="V25" s="8"/>
      <c r="W25" s="4">
        <v>1.7</v>
      </c>
      <c r="X25" s="2">
        <v>2.2000000000000002</v>
      </c>
      <c r="Y25" s="7">
        <v>2.2000000000000002</v>
      </c>
      <c r="Z25" s="8"/>
      <c r="AA25" s="4"/>
      <c r="AB25" s="2"/>
      <c r="AC25" s="2"/>
      <c r="AE25" s="2"/>
      <c r="AF25" s="4">
        <v>3.1</v>
      </c>
      <c r="AG25" s="2">
        <v>2.1</v>
      </c>
      <c r="AH25" s="7">
        <v>1.6</v>
      </c>
      <c r="AI25" s="8"/>
      <c r="AJ25" s="4">
        <v>1.3</v>
      </c>
      <c r="AK25" s="2">
        <v>1.7</v>
      </c>
      <c r="AL25" s="7">
        <v>1.1000000000000001</v>
      </c>
      <c r="AM25" s="8"/>
      <c r="AN25" s="4">
        <v>0.9</v>
      </c>
      <c r="AO25" s="2">
        <v>1.4</v>
      </c>
      <c r="AP25" s="2">
        <v>1.5</v>
      </c>
      <c r="AR25" s="2"/>
      <c r="AS25" s="4">
        <v>1.5</v>
      </c>
      <c r="AT25" s="2">
        <v>1.7</v>
      </c>
      <c r="AU25" s="7">
        <v>1.7</v>
      </c>
      <c r="AV25" s="8"/>
      <c r="AW25" s="4">
        <v>1.3</v>
      </c>
      <c r="AX25" s="2">
        <v>1.4</v>
      </c>
      <c r="AY25" s="7">
        <v>1.5</v>
      </c>
      <c r="AZ25" s="8"/>
      <c r="BA25" s="4"/>
      <c r="BB25" s="2"/>
      <c r="BC25" s="2"/>
      <c r="BH25" s="65" t="s">
        <v>1</v>
      </c>
      <c r="BI25" s="66"/>
      <c r="BJ25" s="50">
        <v>39</v>
      </c>
      <c r="BK25" s="50">
        <v>53</v>
      </c>
      <c r="BL25" s="51">
        <v>69</v>
      </c>
      <c r="BM25" s="50">
        <v>52</v>
      </c>
      <c r="BN25" s="50">
        <v>67</v>
      </c>
      <c r="BO25" s="51">
        <v>70</v>
      </c>
    </row>
    <row r="26" spans="2:67" x14ac:dyDescent="0.25">
      <c r="C26" s="67" t="s">
        <v>23</v>
      </c>
      <c r="D26" s="74"/>
      <c r="E26" s="2"/>
      <c r="F26" s="4">
        <v>425</v>
      </c>
      <c r="G26" s="2">
        <v>634</v>
      </c>
      <c r="H26" s="7">
        <v>452</v>
      </c>
      <c r="I26" s="8"/>
      <c r="J26" s="4">
        <v>404</v>
      </c>
      <c r="K26" s="2">
        <v>401</v>
      </c>
      <c r="L26" s="7">
        <v>559</v>
      </c>
      <c r="M26" s="8"/>
      <c r="N26" s="4"/>
      <c r="O26" s="2"/>
      <c r="P26" s="2"/>
      <c r="R26" s="2"/>
      <c r="S26" s="4">
        <v>516</v>
      </c>
      <c r="T26" s="2">
        <v>578</v>
      </c>
      <c r="U26" s="7">
        <v>621</v>
      </c>
      <c r="V26" s="8"/>
      <c r="W26" s="4">
        <v>452</v>
      </c>
      <c r="X26" s="2">
        <v>591</v>
      </c>
      <c r="Y26" s="7">
        <v>608</v>
      </c>
      <c r="Z26" s="8"/>
      <c r="AA26" s="4"/>
      <c r="AB26" s="2"/>
      <c r="AC26" s="2"/>
      <c r="AE26" s="2"/>
      <c r="AF26" s="4">
        <v>663</v>
      </c>
      <c r="AG26" s="2">
        <v>435</v>
      </c>
      <c r="AH26" s="7">
        <v>351</v>
      </c>
      <c r="AI26" s="8"/>
      <c r="AJ26" s="4">
        <v>484</v>
      </c>
      <c r="AK26" s="2">
        <v>626</v>
      </c>
      <c r="AL26" s="7">
        <v>392</v>
      </c>
      <c r="AM26" s="8"/>
      <c r="AN26" s="4">
        <v>247</v>
      </c>
      <c r="AO26" s="2">
        <v>398</v>
      </c>
      <c r="AP26" s="2">
        <v>426</v>
      </c>
      <c r="AR26" s="2"/>
      <c r="AS26" s="4">
        <v>513</v>
      </c>
      <c r="AT26" s="2">
        <v>553</v>
      </c>
      <c r="AU26" s="7">
        <v>586</v>
      </c>
      <c r="AV26" s="8"/>
      <c r="AW26" s="4">
        <v>524</v>
      </c>
      <c r="AX26" s="2">
        <v>561</v>
      </c>
      <c r="AY26" s="7">
        <v>585</v>
      </c>
      <c r="AZ26" s="8"/>
      <c r="BA26" s="4"/>
      <c r="BB26" s="2"/>
      <c r="BC26" s="2"/>
      <c r="BH26" s="48"/>
      <c r="BI26" s="49" t="s">
        <v>14</v>
      </c>
      <c r="BJ26" s="52">
        <f t="shared" ref="BJ26:BO26" si="32">BJ25/BJ24</f>
        <v>0.15234375</v>
      </c>
      <c r="BK26" s="52">
        <f t="shared" si="32"/>
        <v>0.20703125</v>
      </c>
      <c r="BL26" s="53">
        <f t="shared" si="32"/>
        <v>0.26953125</v>
      </c>
      <c r="BM26" s="52">
        <f t="shared" si="32"/>
        <v>0.203125</v>
      </c>
      <c r="BN26" s="52">
        <f t="shared" si="32"/>
        <v>0.26171875</v>
      </c>
      <c r="BO26" s="53">
        <f t="shared" si="32"/>
        <v>0.2734375</v>
      </c>
    </row>
    <row r="27" spans="2:67" x14ac:dyDescent="0.25">
      <c r="C27" s="67" t="s">
        <v>26</v>
      </c>
      <c r="D27" s="74"/>
      <c r="E27" s="2"/>
      <c r="F27" s="4">
        <v>325</v>
      </c>
      <c r="G27" s="2">
        <v>534</v>
      </c>
      <c r="H27" s="7">
        <v>352</v>
      </c>
      <c r="I27" s="8"/>
      <c r="J27" s="4">
        <v>304</v>
      </c>
      <c r="K27" s="2">
        <v>301</v>
      </c>
      <c r="L27" s="7">
        <v>459</v>
      </c>
      <c r="M27" s="8"/>
      <c r="N27" s="4"/>
      <c r="O27" s="2"/>
      <c r="P27" s="2"/>
      <c r="R27" s="2"/>
      <c r="S27" s="4">
        <v>416</v>
      </c>
      <c r="T27" s="2">
        <v>478</v>
      </c>
      <c r="U27" s="7">
        <v>521</v>
      </c>
      <c r="V27" s="8"/>
      <c r="W27" s="4">
        <v>352</v>
      </c>
      <c r="X27" s="2">
        <v>491</v>
      </c>
      <c r="Y27" s="7">
        <v>508</v>
      </c>
      <c r="Z27" s="8"/>
      <c r="AA27" s="4"/>
      <c r="AB27" s="2"/>
      <c r="AC27" s="2"/>
      <c r="AE27" s="2"/>
      <c r="AF27" s="4">
        <v>563</v>
      </c>
      <c r="AG27" s="2">
        <v>335</v>
      </c>
      <c r="AH27" s="7">
        <v>251</v>
      </c>
      <c r="AI27" s="8"/>
      <c r="AJ27" s="4">
        <v>384</v>
      </c>
      <c r="AK27" s="2">
        <v>526</v>
      </c>
      <c r="AL27" s="7">
        <v>292</v>
      </c>
      <c r="AM27" s="8"/>
      <c r="AN27" s="4">
        <v>147</v>
      </c>
      <c r="AO27" s="2">
        <v>298</v>
      </c>
      <c r="AP27" s="2">
        <v>326</v>
      </c>
      <c r="AR27" s="2"/>
      <c r="AS27" s="4">
        <v>413</v>
      </c>
      <c r="AT27" s="2">
        <v>453</v>
      </c>
      <c r="AU27" s="7">
        <v>486</v>
      </c>
      <c r="AV27" s="8"/>
      <c r="AW27" s="4">
        <v>424</v>
      </c>
      <c r="AX27" s="2">
        <v>461</v>
      </c>
      <c r="AY27" s="7">
        <v>485</v>
      </c>
      <c r="AZ27" s="8"/>
      <c r="BA27" s="4"/>
      <c r="BB27" s="2"/>
      <c r="BC27" s="2"/>
      <c r="BH27" s="65" t="s">
        <v>2</v>
      </c>
      <c r="BI27" s="66"/>
      <c r="BJ27" s="50">
        <v>25</v>
      </c>
      <c r="BK27" s="50">
        <v>27</v>
      </c>
      <c r="BL27" s="51">
        <v>28</v>
      </c>
      <c r="BM27" s="50">
        <v>10</v>
      </c>
      <c r="BN27" s="50">
        <v>15</v>
      </c>
      <c r="BO27" s="51">
        <v>25</v>
      </c>
    </row>
    <row r="28" spans="2:67" x14ac:dyDescent="0.25">
      <c r="C28" s="75" t="s">
        <v>7</v>
      </c>
      <c r="D28" s="76"/>
      <c r="E28" s="2"/>
      <c r="F28" s="4">
        <v>0.78</v>
      </c>
      <c r="G28" s="2">
        <v>0.76</v>
      </c>
      <c r="H28" s="7">
        <v>0.66</v>
      </c>
      <c r="I28" s="8"/>
      <c r="J28" s="4">
        <v>0.78</v>
      </c>
      <c r="K28" s="2">
        <v>0.77</v>
      </c>
      <c r="L28" s="7">
        <v>0.7</v>
      </c>
      <c r="M28" s="8"/>
      <c r="N28" s="4"/>
      <c r="O28" s="2"/>
      <c r="P28" s="2"/>
      <c r="R28" s="2"/>
      <c r="S28" s="4">
        <v>0.81</v>
      </c>
      <c r="T28" s="2">
        <v>0.78</v>
      </c>
      <c r="U28" s="7">
        <v>0.7</v>
      </c>
      <c r="V28" s="8"/>
      <c r="W28" s="4">
        <v>0.79</v>
      </c>
      <c r="X28" s="2">
        <v>0.79</v>
      </c>
      <c r="Y28" s="7">
        <v>0.69</v>
      </c>
      <c r="Z28" s="8"/>
      <c r="AA28" s="4"/>
      <c r="AB28" s="2"/>
      <c r="AC28" s="2"/>
      <c r="AE28" s="2"/>
      <c r="AF28" s="4">
        <v>0.77</v>
      </c>
      <c r="AG28" s="2">
        <v>0.77</v>
      </c>
      <c r="AH28" s="7">
        <v>0.68</v>
      </c>
      <c r="AI28" s="8"/>
      <c r="AJ28" s="4">
        <v>0.79</v>
      </c>
      <c r="AK28" s="2">
        <v>0.75</v>
      </c>
      <c r="AL28" s="7">
        <v>0.69</v>
      </c>
      <c r="AM28" s="8"/>
      <c r="AN28" s="4">
        <v>0.77</v>
      </c>
      <c r="AO28" s="2">
        <v>0.75</v>
      </c>
      <c r="AP28" s="2">
        <v>0.69</v>
      </c>
      <c r="AR28" s="2"/>
      <c r="AS28" s="4">
        <v>0.79</v>
      </c>
      <c r="AT28" s="2">
        <v>0.78</v>
      </c>
      <c r="AU28" s="7">
        <v>0.7</v>
      </c>
      <c r="AV28" s="8"/>
      <c r="AW28" s="4">
        <v>0.77</v>
      </c>
      <c r="AX28" s="2">
        <v>0.77</v>
      </c>
      <c r="AY28" s="7">
        <v>0.68</v>
      </c>
      <c r="AZ28" s="8"/>
      <c r="BA28" s="4"/>
      <c r="BB28" s="2"/>
      <c r="BC28" s="2"/>
      <c r="BH28" s="48"/>
      <c r="BI28" s="49" t="s">
        <v>16</v>
      </c>
      <c r="BJ28" s="52">
        <f t="shared" ref="BJ28:BO28" si="33">BJ27/BJ24</f>
        <v>9.765625E-2</v>
      </c>
      <c r="BK28" s="52">
        <f t="shared" si="33"/>
        <v>0.10546875</v>
      </c>
      <c r="BL28" s="53">
        <f t="shared" si="33"/>
        <v>0.109375</v>
      </c>
      <c r="BM28" s="52">
        <f t="shared" si="33"/>
        <v>3.90625E-2</v>
      </c>
      <c r="BN28" s="52">
        <f t="shared" si="33"/>
        <v>5.859375E-2</v>
      </c>
      <c r="BO28" s="53">
        <f t="shared" si="33"/>
        <v>9.765625E-2</v>
      </c>
    </row>
    <row r="29" spans="2:67" x14ac:dyDescent="0.25">
      <c r="C29" s="75" t="s">
        <v>9</v>
      </c>
      <c r="D29" s="76"/>
      <c r="E29" s="2"/>
      <c r="F29" s="4">
        <v>13.8</v>
      </c>
      <c r="G29" s="2">
        <v>14.1</v>
      </c>
      <c r="H29" s="7">
        <v>13.9</v>
      </c>
      <c r="I29" s="8"/>
      <c r="J29" s="4">
        <v>9.3000000000000007</v>
      </c>
      <c r="K29" s="2">
        <v>9.1999999999999993</v>
      </c>
      <c r="L29" s="7">
        <v>9</v>
      </c>
      <c r="M29" s="8"/>
      <c r="N29" s="4"/>
      <c r="O29" s="2"/>
      <c r="P29" s="2"/>
      <c r="R29" s="2"/>
      <c r="S29" s="4">
        <v>14.5</v>
      </c>
      <c r="T29" s="2">
        <v>14.4</v>
      </c>
      <c r="U29" s="7">
        <v>14.8</v>
      </c>
      <c r="V29" s="8"/>
      <c r="W29" s="4">
        <v>8</v>
      </c>
      <c r="X29" s="2">
        <v>8</v>
      </c>
      <c r="Y29" s="7">
        <v>8.1999999999999993</v>
      </c>
      <c r="Z29" s="8"/>
      <c r="AA29" s="4"/>
      <c r="AB29" s="2"/>
      <c r="AC29" s="2"/>
      <c r="AE29" s="2"/>
      <c r="AF29" s="4">
        <v>13</v>
      </c>
      <c r="AG29" s="2">
        <v>12.8</v>
      </c>
      <c r="AH29" s="7">
        <v>12.5</v>
      </c>
      <c r="AI29" s="8"/>
      <c r="AJ29" s="4">
        <v>7.9</v>
      </c>
      <c r="AK29" s="2">
        <v>7.6</v>
      </c>
      <c r="AL29" s="7">
        <v>7.6</v>
      </c>
      <c r="AM29" s="8"/>
      <c r="AN29" s="4">
        <v>10.8</v>
      </c>
      <c r="AO29" s="2">
        <v>10.9</v>
      </c>
      <c r="AP29" s="2">
        <v>11</v>
      </c>
      <c r="AR29" s="2"/>
      <c r="AS29" s="4">
        <v>15.8</v>
      </c>
      <c r="AT29" s="2">
        <v>12.4</v>
      </c>
      <c r="AU29" s="7">
        <v>12.6</v>
      </c>
      <c r="AV29" s="8"/>
      <c r="AW29" s="4">
        <v>7.7</v>
      </c>
      <c r="AX29" s="2">
        <v>7.7</v>
      </c>
      <c r="AY29" s="7">
        <v>7.5</v>
      </c>
      <c r="AZ29" s="8"/>
      <c r="BA29" s="4"/>
      <c r="BB29" s="2"/>
      <c r="BC29" s="2"/>
      <c r="BH29" s="65" t="s">
        <v>9</v>
      </c>
      <c r="BI29" s="66"/>
      <c r="BJ29" s="50">
        <v>9</v>
      </c>
      <c r="BK29" s="50">
        <v>9.1999999999999993</v>
      </c>
      <c r="BL29" s="51">
        <v>9.1999999999999993</v>
      </c>
      <c r="BM29" s="50">
        <v>12.4</v>
      </c>
      <c r="BN29" s="50">
        <v>11.9</v>
      </c>
      <c r="BO29" s="51">
        <v>11.6</v>
      </c>
    </row>
    <row r="32" spans="2:67" ht="28.5" x14ac:dyDescent="0.45">
      <c r="B32" s="27" t="s">
        <v>40</v>
      </c>
      <c r="I32" s="22" t="s">
        <v>32</v>
      </c>
      <c r="V32" s="22" t="s">
        <v>33</v>
      </c>
      <c r="AI32" s="22" t="s">
        <v>36</v>
      </c>
      <c r="AV32" s="22" t="s">
        <v>39</v>
      </c>
    </row>
    <row r="33" spans="3:67" x14ac:dyDescent="0.25">
      <c r="C33" s="45" t="s">
        <v>12</v>
      </c>
    </row>
    <row r="34" spans="3:67" x14ac:dyDescent="0.25">
      <c r="C34" s="11" t="s">
        <v>17</v>
      </c>
      <c r="E34" s="11" t="s">
        <v>17</v>
      </c>
      <c r="F34" s="12" t="s">
        <v>24</v>
      </c>
      <c r="I34" t="s">
        <v>41</v>
      </c>
      <c r="L34" t="s">
        <v>27</v>
      </c>
      <c r="R34" s="11" t="s">
        <v>17</v>
      </c>
      <c r="S34" s="12" t="s">
        <v>24</v>
      </c>
      <c r="V34" t="s">
        <v>41</v>
      </c>
      <c r="Y34" t="s">
        <v>27</v>
      </c>
      <c r="AE34" s="11" t="s">
        <v>17</v>
      </c>
      <c r="AF34" s="12" t="s">
        <v>24</v>
      </c>
      <c r="AI34" t="s">
        <v>41</v>
      </c>
      <c r="AL34" t="s">
        <v>27</v>
      </c>
      <c r="AR34" s="11" t="s">
        <v>17</v>
      </c>
      <c r="AS34" s="12" t="s">
        <v>24</v>
      </c>
      <c r="AV34" t="s">
        <v>41</v>
      </c>
      <c r="AY34" t="s">
        <v>27</v>
      </c>
    </row>
    <row r="35" spans="3:67" ht="15.75" x14ac:dyDescent="0.25">
      <c r="C35" s="77" t="s">
        <v>10</v>
      </c>
      <c r="D35" s="78"/>
      <c r="E35" s="70" t="s">
        <v>18</v>
      </c>
      <c r="F35" s="71"/>
      <c r="G35" s="71"/>
      <c r="H35" s="71"/>
      <c r="I35" s="72" t="s">
        <v>38</v>
      </c>
      <c r="J35" s="71"/>
      <c r="K35" s="71"/>
      <c r="L35" s="71"/>
      <c r="M35" s="71" t="s">
        <v>19</v>
      </c>
      <c r="N35" s="71"/>
      <c r="O35" s="71"/>
      <c r="P35" s="73"/>
      <c r="R35" s="70" t="s">
        <v>18</v>
      </c>
      <c r="S35" s="71"/>
      <c r="T35" s="71"/>
      <c r="U35" s="71"/>
      <c r="V35" s="72" t="s">
        <v>38</v>
      </c>
      <c r="W35" s="71"/>
      <c r="X35" s="71"/>
      <c r="Y35" s="71"/>
      <c r="Z35" s="71" t="s">
        <v>19</v>
      </c>
      <c r="AA35" s="71"/>
      <c r="AB35" s="71"/>
      <c r="AC35" s="73"/>
      <c r="AE35" s="70" t="s">
        <v>37</v>
      </c>
      <c r="AF35" s="71"/>
      <c r="AG35" s="71"/>
      <c r="AH35" s="71"/>
      <c r="AI35" s="72" t="s">
        <v>38</v>
      </c>
      <c r="AJ35" s="71"/>
      <c r="AK35" s="71"/>
      <c r="AL35" s="71"/>
      <c r="AM35" s="71" t="s">
        <v>46</v>
      </c>
      <c r="AN35" s="71"/>
      <c r="AO35" s="71"/>
      <c r="AP35" s="73"/>
      <c r="AR35" s="70" t="s">
        <v>37</v>
      </c>
      <c r="AS35" s="71"/>
      <c r="AT35" s="71"/>
      <c r="AU35" s="71"/>
      <c r="AV35" s="72" t="s">
        <v>38</v>
      </c>
      <c r="AW35" s="71"/>
      <c r="AX35" s="71"/>
      <c r="AY35" s="71"/>
      <c r="AZ35" s="71" t="s">
        <v>19</v>
      </c>
      <c r="BA35" s="71"/>
      <c r="BB35" s="71"/>
      <c r="BC35" s="73"/>
      <c r="BH35" s="60" t="s">
        <v>10</v>
      </c>
      <c r="BI35" s="61"/>
      <c r="BJ35" s="62" t="s">
        <v>49</v>
      </c>
      <c r="BK35" s="62"/>
      <c r="BL35" s="62"/>
      <c r="BM35" s="62" t="s">
        <v>51</v>
      </c>
      <c r="BN35" s="62"/>
      <c r="BO35" s="62"/>
    </row>
    <row r="36" spans="3:67" x14ac:dyDescent="0.25">
      <c r="C36" s="77" t="s">
        <v>11</v>
      </c>
      <c r="D36" s="78"/>
      <c r="E36" s="3"/>
      <c r="F36" s="3" t="s">
        <v>0</v>
      </c>
      <c r="G36" s="3" t="s">
        <v>21</v>
      </c>
      <c r="H36" s="5" t="s">
        <v>22</v>
      </c>
      <c r="I36" s="6"/>
      <c r="J36" s="37" t="s">
        <v>0</v>
      </c>
      <c r="K36" s="37" t="s">
        <v>21</v>
      </c>
      <c r="L36" s="38" t="s">
        <v>22</v>
      </c>
      <c r="M36" s="6"/>
      <c r="N36" s="3" t="s">
        <v>0</v>
      </c>
      <c r="O36" s="3" t="s">
        <v>21</v>
      </c>
      <c r="P36" s="3" t="s">
        <v>22</v>
      </c>
      <c r="R36" s="3"/>
      <c r="S36" s="39" t="s">
        <v>0</v>
      </c>
      <c r="T36" s="39" t="s">
        <v>21</v>
      </c>
      <c r="U36" s="40" t="s">
        <v>22</v>
      </c>
      <c r="V36" s="6"/>
      <c r="W36" s="35" t="s">
        <v>0</v>
      </c>
      <c r="X36" s="35" t="s">
        <v>21</v>
      </c>
      <c r="Y36" s="36" t="s">
        <v>22</v>
      </c>
      <c r="Z36" s="6"/>
      <c r="AA36" s="3" t="s">
        <v>0</v>
      </c>
      <c r="AB36" s="3" t="s">
        <v>21</v>
      </c>
      <c r="AC36" s="3" t="s">
        <v>22</v>
      </c>
      <c r="AE36" s="3"/>
      <c r="AF36" s="37" t="s">
        <v>0</v>
      </c>
      <c r="AG36" s="37" t="s">
        <v>21</v>
      </c>
      <c r="AH36" s="38" t="s">
        <v>22</v>
      </c>
      <c r="AI36" s="6"/>
      <c r="AJ36" s="35" t="s">
        <v>0</v>
      </c>
      <c r="AK36" s="35" t="s">
        <v>21</v>
      </c>
      <c r="AL36" s="36" t="s">
        <v>22</v>
      </c>
      <c r="AM36" s="6"/>
      <c r="AN36" s="37" t="s">
        <v>0</v>
      </c>
      <c r="AO36" s="37" t="s">
        <v>21</v>
      </c>
      <c r="AP36" s="37" t="s">
        <v>22</v>
      </c>
      <c r="AR36" s="3"/>
      <c r="AS36" s="37" t="s">
        <v>0</v>
      </c>
      <c r="AT36" s="37" t="s">
        <v>21</v>
      </c>
      <c r="AU36" s="38" t="s">
        <v>22</v>
      </c>
      <c r="AV36" s="6"/>
      <c r="AW36" s="37" t="s">
        <v>0</v>
      </c>
      <c r="AX36" s="37" t="s">
        <v>21</v>
      </c>
      <c r="AY36" s="38" t="s">
        <v>22</v>
      </c>
      <c r="AZ36" s="6"/>
      <c r="BA36" s="3" t="s">
        <v>0</v>
      </c>
      <c r="BB36" s="3" t="s">
        <v>21</v>
      </c>
      <c r="BC36" s="3" t="s">
        <v>22</v>
      </c>
      <c r="BH36" s="60" t="s">
        <v>11</v>
      </c>
      <c r="BI36" s="61"/>
      <c r="BJ36" s="54" t="s">
        <v>0</v>
      </c>
      <c r="BK36" s="54" t="s">
        <v>21</v>
      </c>
      <c r="BL36" s="55" t="s">
        <v>22</v>
      </c>
      <c r="BM36" s="54" t="s">
        <v>0</v>
      </c>
      <c r="BN36" s="54" t="s">
        <v>21</v>
      </c>
      <c r="BO36" s="55" t="s">
        <v>22</v>
      </c>
    </row>
    <row r="37" spans="3:67" x14ac:dyDescent="0.25">
      <c r="C37" s="67" t="s">
        <v>13</v>
      </c>
      <c r="D37" s="74"/>
      <c r="E37" s="2"/>
      <c r="F37" s="4"/>
      <c r="G37" s="2"/>
      <c r="H37" s="7"/>
      <c r="I37" s="4"/>
      <c r="J37" s="4">
        <v>256</v>
      </c>
      <c r="K37" s="2">
        <v>256</v>
      </c>
      <c r="L37" s="7">
        <v>256</v>
      </c>
      <c r="M37" s="8"/>
      <c r="N37" s="4"/>
      <c r="O37" s="2"/>
      <c r="P37" s="2"/>
      <c r="R37" s="2"/>
      <c r="S37" s="4"/>
      <c r="T37" s="2"/>
      <c r="U37" s="7"/>
      <c r="V37" s="8"/>
      <c r="W37" s="4">
        <v>256</v>
      </c>
      <c r="X37" s="2">
        <v>265</v>
      </c>
      <c r="Y37" s="7">
        <v>256</v>
      </c>
      <c r="Z37" s="8"/>
      <c r="AA37" s="4"/>
      <c r="AB37" s="2"/>
      <c r="AC37" s="2"/>
      <c r="AE37" s="2"/>
      <c r="AF37" s="4">
        <v>256</v>
      </c>
      <c r="AG37" s="2">
        <v>256</v>
      </c>
      <c r="AH37" s="7">
        <v>256</v>
      </c>
      <c r="AI37" s="8"/>
      <c r="AJ37" s="56">
        <v>256</v>
      </c>
      <c r="AK37" s="56">
        <v>256</v>
      </c>
      <c r="AL37" s="57">
        <v>256</v>
      </c>
      <c r="AM37" s="8"/>
      <c r="AN37" s="4">
        <v>256</v>
      </c>
      <c r="AO37" s="2">
        <v>256</v>
      </c>
      <c r="AP37" s="2">
        <v>256</v>
      </c>
      <c r="AR37" s="2"/>
      <c r="AS37" s="4">
        <v>256</v>
      </c>
      <c r="AT37" s="2">
        <v>256</v>
      </c>
      <c r="AU37" s="7">
        <v>256</v>
      </c>
      <c r="AV37" s="8"/>
      <c r="AW37" s="4">
        <v>256</v>
      </c>
      <c r="AX37" s="2">
        <v>256</v>
      </c>
      <c r="AY37" s="7">
        <v>256</v>
      </c>
      <c r="AZ37" s="8"/>
      <c r="BA37" s="4"/>
      <c r="BB37" s="2"/>
      <c r="BC37" s="2"/>
      <c r="BH37" s="63" t="s">
        <v>13</v>
      </c>
      <c r="BI37" s="64"/>
      <c r="BJ37" s="50">
        <v>256</v>
      </c>
      <c r="BK37" s="50">
        <v>256</v>
      </c>
      <c r="BL37" s="51">
        <v>256</v>
      </c>
      <c r="BM37" s="50">
        <v>256</v>
      </c>
      <c r="BN37" s="50">
        <v>256</v>
      </c>
      <c r="BO37" s="51">
        <v>256</v>
      </c>
    </row>
    <row r="38" spans="3:67" x14ac:dyDescent="0.25">
      <c r="C38" s="75" t="s">
        <v>1</v>
      </c>
      <c r="D38" s="76"/>
      <c r="E38" s="2"/>
      <c r="F38" s="4"/>
      <c r="G38" s="2"/>
      <c r="H38" s="7"/>
      <c r="I38" s="4"/>
      <c r="J38" s="4">
        <v>55</v>
      </c>
      <c r="K38" s="2">
        <v>65</v>
      </c>
      <c r="L38" s="7">
        <v>87</v>
      </c>
      <c r="M38" s="8"/>
      <c r="N38" s="4"/>
      <c r="O38" s="2"/>
      <c r="P38" s="2"/>
      <c r="R38" s="2"/>
      <c r="S38" s="4"/>
      <c r="T38" s="2"/>
      <c r="U38" s="7"/>
      <c r="V38" s="8"/>
      <c r="W38" s="4">
        <v>49</v>
      </c>
      <c r="X38" s="2">
        <v>54</v>
      </c>
      <c r="Y38" s="7">
        <v>84</v>
      </c>
      <c r="Z38" s="8"/>
      <c r="AA38" s="4"/>
      <c r="AB38" s="2"/>
      <c r="AC38" s="2"/>
      <c r="AE38" s="2"/>
      <c r="AF38" s="4">
        <v>43</v>
      </c>
      <c r="AG38" s="2">
        <v>62</v>
      </c>
      <c r="AH38" s="7">
        <v>73</v>
      </c>
      <c r="AI38" s="8"/>
      <c r="AJ38" s="56">
        <v>39</v>
      </c>
      <c r="AK38" s="56">
        <v>53</v>
      </c>
      <c r="AL38" s="57">
        <v>69</v>
      </c>
      <c r="AM38" s="8"/>
      <c r="AN38" s="4">
        <v>52</v>
      </c>
      <c r="AO38" s="2">
        <v>67</v>
      </c>
      <c r="AP38" s="2">
        <v>70</v>
      </c>
      <c r="AR38" s="2"/>
      <c r="AS38" s="4">
        <v>42</v>
      </c>
      <c r="AT38" s="2">
        <v>43</v>
      </c>
      <c r="AU38" s="7">
        <v>72</v>
      </c>
      <c r="AV38" s="8"/>
      <c r="AW38" s="4">
        <v>47</v>
      </c>
      <c r="AX38" s="2">
        <v>57</v>
      </c>
      <c r="AY38" s="7">
        <v>69</v>
      </c>
      <c r="AZ38" s="8"/>
      <c r="BA38" s="4"/>
      <c r="BB38" s="2"/>
      <c r="BC38" s="2"/>
      <c r="BH38" s="65" t="s">
        <v>1</v>
      </c>
      <c r="BI38" s="66"/>
      <c r="BJ38" s="50">
        <v>28</v>
      </c>
      <c r="BK38" s="50">
        <v>47</v>
      </c>
      <c r="BL38" s="51">
        <v>74</v>
      </c>
      <c r="BM38" s="50">
        <v>39</v>
      </c>
      <c r="BN38" s="50">
        <v>53</v>
      </c>
      <c r="BO38" s="51">
        <v>69</v>
      </c>
    </row>
    <row r="39" spans="3:67" x14ac:dyDescent="0.25">
      <c r="C39" s="1"/>
      <c r="D39" s="9" t="s">
        <v>14</v>
      </c>
      <c r="E39" s="30" t="e">
        <f t="shared" ref="E39:P39" si="34">E38/E37</f>
        <v>#DIV/0!</v>
      </c>
      <c r="F39" s="13" t="e">
        <f t="shared" si="34"/>
        <v>#DIV/0!</v>
      </c>
      <c r="G39" s="30" t="e">
        <f t="shared" si="34"/>
        <v>#DIV/0!</v>
      </c>
      <c r="H39" s="31" t="e">
        <f t="shared" si="34"/>
        <v>#DIV/0!</v>
      </c>
      <c r="I39" s="34" t="e">
        <f t="shared" si="34"/>
        <v>#DIV/0!</v>
      </c>
      <c r="J39" s="13">
        <f t="shared" si="34"/>
        <v>0.21484375</v>
      </c>
      <c r="K39" s="30">
        <f t="shared" si="34"/>
        <v>0.25390625</v>
      </c>
      <c r="L39" s="31">
        <f t="shared" si="34"/>
        <v>0.33984375</v>
      </c>
      <c r="M39" s="34" t="e">
        <f t="shared" si="34"/>
        <v>#DIV/0!</v>
      </c>
      <c r="N39" s="13" t="e">
        <f t="shared" si="34"/>
        <v>#DIV/0!</v>
      </c>
      <c r="O39" s="30" t="e">
        <f t="shared" si="34"/>
        <v>#DIV/0!</v>
      </c>
      <c r="P39" s="30" t="e">
        <f t="shared" si="34"/>
        <v>#DIV/0!</v>
      </c>
      <c r="R39" s="30" t="e">
        <f t="shared" ref="R39" si="35">R38/R37</f>
        <v>#DIV/0!</v>
      </c>
      <c r="S39" s="13" t="e">
        <f t="shared" ref="S39" si="36">S38/S37</f>
        <v>#DIV/0!</v>
      </c>
      <c r="T39" s="30" t="e">
        <f t="shared" ref="T39" si="37">T38/T37</f>
        <v>#DIV/0!</v>
      </c>
      <c r="U39" s="31" t="e">
        <f t="shared" ref="U39" si="38">U38/U37</f>
        <v>#DIV/0!</v>
      </c>
      <c r="V39" s="34" t="e">
        <f t="shared" ref="V39" si="39">V38/V37</f>
        <v>#DIV/0!</v>
      </c>
      <c r="W39" s="13">
        <f t="shared" ref="W39" si="40">W38/W37</f>
        <v>0.19140625</v>
      </c>
      <c r="X39" s="30">
        <f t="shared" ref="X39" si="41">X38/X37</f>
        <v>0.20377358490566039</v>
      </c>
      <c r="Y39" s="31">
        <f t="shared" ref="Y39" si="42">Y38/Y37</f>
        <v>0.328125</v>
      </c>
      <c r="Z39" s="34" t="e">
        <f t="shared" ref="Z39" si="43">Z38/Z37</f>
        <v>#DIV/0!</v>
      </c>
      <c r="AA39" s="13" t="e">
        <f t="shared" ref="AA39" si="44">AA38/AA37</f>
        <v>#DIV/0!</v>
      </c>
      <c r="AB39" s="30" t="e">
        <f t="shared" ref="AB39" si="45">AB38/AB37</f>
        <v>#DIV/0!</v>
      </c>
      <c r="AC39" s="30" t="e">
        <f t="shared" ref="AC39" si="46">AC38/AC37</f>
        <v>#DIV/0!</v>
      </c>
      <c r="AE39" s="30" t="e">
        <f t="shared" ref="AE39:AP39" si="47">AE38/AE37</f>
        <v>#DIV/0!</v>
      </c>
      <c r="AF39" s="13">
        <f t="shared" si="47"/>
        <v>0.16796875</v>
      </c>
      <c r="AG39" s="30">
        <f t="shared" si="47"/>
        <v>0.2421875</v>
      </c>
      <c r="AH39" s="31">
        <f t="shared" si="47"/>
        <v>0.28515625</v>
      </c>
      <c r="AI39" s="34" t="e">
        <f t="shared" si="47"/>
        <v>#DIV/0!</v>
      </c>
      <c r="AJ39" s="58">
        <f t="shared" si="47"/>
        <v>0.15234375</v>
      </c>
      <c r="AK39" s="58">
        <f t="shared" si="47"/>
        <v>0.20703125</v>
      </c>
      <c r="AL39" s="59">
        <f t="shared" si="47"/>
        <v>0.26953125</v>
      </c>
      <c r="AM39" s="34" t="e">
        <f t="shared" si="47"/>
        <v>#DIV/0!</v>
      </c>
      <c r="AN39" s="13">
        <f t="shared" si="47"/>
        <v>0.203125</v>
      </c>
      <c r="AO39" s="30">
        <f t="shared" si="47"/>
        <v>0.26171875</v>
      </c>
      <c r="AP39" s="30">
        <f t="shared" si="47"/>
        <v>0.2734375</v>
      </c>
      <c r="AR39" s="30" t="e">
        <f t="shared" ref="AR39:BC39" si="48">AR38/AR37</f>
        <v>#DIV/0!</v>
      </c>
      <c r="AS39" s="13">
        <f t="shared" si="48"/>
        <v>0.1640625</v>
      </c>
      <c r="AT39" s="30">
        <f t="shared" si="48"/>
        <v>0.16796875</v>
      </c>
      <c r="AU39" s="31">
        <f t="shared" si="48"/>
        <v>0.28125</v>
      </c>
      <c r="AV39" s="34" t="e">
        <f t="shared" si="48"/>
        <v>#DIV/0!</v>
      </c>
      <c r="AW39" s="13">
        <f t="shared" si="48"/>
        <v>0.18359375</v>
      </c>
      <c r="AX39" s="30">
        <f t="shared" si="48"/>
        <v>0.22265625</v>
      </c>
      <c r="AY39" s="31">
        <f t="shared" si="48"/>
        <v>0.26953125</v>
      </c>
      <c r="AZ39" s="34" t="e">
        <f t="shared" si="48"/>
        <v>#DIV/0!</v>
      </c>
      <c r="BA39" s="13" t="e">
        <f t="shared" si="48"/>
        <v>#DIV/0!</v>
      </c>
      <c r="BB39" s="30" t="e">
        <f t="shared" si="48"/>
        <v>#DIV/0!</v>
      </c>
      <c r="BC39" s="30" t="e">
        <f t="shared" si="48"/>
        <v>#DIV/0!</v>
      </c>
      <c r="BH39" s="48"/>
      <c r="BI39" s="49" t="s">
        <v>14</v>
      </c>
      <c r="BJ39" s="52">
        <f t="shared" ref="BJ39:BO39" si="49">BJ38/BJ37</f>
        <v>0.109375</v>
      </c>
      <c r="BK39" s="52">
        <f t="shared" si="49"/>
        <v>0.18359375</v>
      </c>
      <c r="BL39" s="53">
        <f t="shared" si="49"/>
        <v>0.2890625</v>
      </c>
      <c r="BM39" s="52">
        <f t="shared" si="49"/>
        <v>0.15234375</v>
      </c>
      <c r="BN39" s="52">
        <f t="shared" si="49"/>
        <v>0.20703125</v>
      </c>
      <c r="BO39" s="53">
        <f t="shared" si="49"/>
        <v>0.26953125</v>
      </c>
    </row>
    <row r="40" spans="3:67" x14ac:dyDescent="0.25">
      <c r="C40" s="75" t="s">
        <v>2</v>
      </c>
      <c r="D40" s="76"/>
      <c r="E40" s="2"/>
      <c r="F40" s="4"/>
      <c r="G40" s="2"/>
      <c r="H40" s="7"/>
      <c r="I40" s="8"/>
      <c r="J40" s="4">
        <v>10</v>
      </c>
      <c r="K40" s="2">
        <v>12</v>
      </c>
      <c r="L40" s="7">
        <v>14</v>
      </c>
      <c r="M40" s="8"/>
      <c r="N40" s="4"/>
      <c r="O40" s="2"/>
      <c r="P40" s="2"/>
      <c r="R40" s="2"/>
      <c r="S40" s="4"/>
      <c r="T40" s="2"/>
      <c r="U40" s="7"/>
      <c r="V40" s="8"/>
      <c r="W40" s="4">
        <v>26</v>
      </c>
      <c r="X40" s="2">
        <v>12</v>
      </c>
      <c r="Y40" s="7">
        <v>19</v>
      </c>
      <c r="Z40" s="8"/>
      <c r="AA40" s="4"/>
      <c r="AB40" s="2"/>
      <c r="AC40" s="2"/>
      <c r="AE40" s="2"/>
      <c r="AF40" s="4">
        <v>20</v>
      </c>
      <c r="AG40" s="2">
        <v>24</v>
      </c>
      <c r="AH40" s="7">
        <v>19</v>
      </c>
      <c r="AI40" s="8"/>
      <c r="AJ40" s="56">
        <v>25</v>
      </c>
      <c r="AK40" s="56">
        <v>27</v>
      </c>
      <c r="AL40" s="57">
        <v>28</v>
      </c>
      <c r="AM40" s="8"/>
      <c r="AN40" s="4">
        <v>10</v>
      </c>
      <c r="AO40" s="2">
        <v>15</v>
      </c>
      <c r="AP40" s="2">
        <v>25</v>
      </c>
      <c r="AR40" s="2"/>
      <c r="AS40" s="4">
        <v>12</v>
      </c>
      <c r="AT40" s="2">
        <v>12</v>
      </c>
      <c r="AU40" s="7">
        <v>14</v>
      </c>
      <c r="AV40" s="8"/>
      <c r="AW40" s="4">
        <v>11</v>
      </c>
      <c r="AX40" s="2">
        <v>19</v>
      </c>
      <c r="AY40" s="7">
        <v>21</v>
      </c>
      <c r="AZ40" s="8"/>
      <c r="BA40" s="4"/>
      <c r="BB40" s="2"/>
      <c r="BC40" s="2"/>
      <c r="BH40" s="65" t="s">
        <v>2</v>
      </c>
      <c r="BI40" s="66"/>
      <c r="BJ40" s="50">
        <v>15</v>
      </c>
      <c r="BK40" s="50">
        <v>14</v>
      </c>
      <c r="BL40" s="51">
        <v>29</v>
      </c>
      <c r="BM40" s="50">
        <v>25</v>
      </c>
      <c r="BN40" s="50">
        <v>27</v>
      </c>
      <c r="BO40" s="51">
        <v>28</v>
      </c>
    </row>
    <row r="41" spans="3:67" x14ac:dyDescent="0.25">
      <c r="C41" s="1"/>
      <c r="D41" s="9" t="s">
        <v>16</v>
      </c>
      <c r="E41" s="30" t="e">
        <f t="shared" ref="E41:P41" si="50">E40/E37</f>
        <v>#DIV/0!</v>
      </c>
      <c r="F41" s="13" t="e">
        <f t="shared" si="50"/>
        <v>#DIV/0!</v>
      </c>
      <c r="G41" s="30" t="e">
        <f t="shared" si="50"/>
        <v>#DIV/0!</v>
      </c>
      <c r="H41" s="31" t="e">
        <f t="shared" si="50"/>
        <v>#DIV/0!</v>
      </c>
      <c r="I41" s="34" t="e">
        <f t="shared" si="50"/>
        <v>#DIV/0!</v>
      </c>
      <c r="J41" s="13">
        <f t="shared" si="50"/>
        <v>3.90625E-2</v>
      </c>
      <c r="K41" s="30">
        <f t="shared" si="50"/>
        <v>4.6875E-2</v>
      </c>
      <c r="L41" s="31">
        <f t="shared" si="50"/>
        <v>5.46875E-2</v>
      </c>
      <c r="M41" s="34" t="e">
        <f t="shared" si="50"/>
        <v>#DIV/0!</v>
      </c>
      <c r="N41" s="13" t="e">
        <f t="shared" si="50"/>
        <v>#DIV/0!</v>
      </c>
      <c r="O41" s="30" t="e">
        <f t="shared" si="50"/>
        <v>#DIV/0!</v>
      </c>
      <c r="P41" s="30" t="e">
        <f t="shared" si="50"/>
        <v>#DIV/0!</v>
      </c>
      <c r="R41" s="30" t="e">
        <f t="shared" ref="R41" si="51">R40/R37</f>
        <v>#DIV/0!</v>
      </c>
      <c r="S41" s="13" t="e">
        <f t="shared" ref="S41" si="52">S40/S37</f>
        <v>#DIV/0!</v>
      </c>
      <c r="T41" s="30" t="e">
        <f t="shared" ref="T41" si="53">T40/T37</f>
        <v>#DIV/0!</v>
      </c>
      <c r="U41" s="31" t="e">
        <f t="shared" ref="U41" si="54">U40/U37</f>
        <v>#DIV/0!</v>
      </c>
      <c r="V41" s="34" t="e">
        <f t="shared" ref="V41" si="55">V40/V37</f>
        <v>#DIV/0!</v>
      </c>
      <c r="W41" s="13">
        <f t="shared" ref="W41" si="56">W40/W37</f>
        <v>0.1015625</v>
      </c>
      <c r="X41" s="30">
        <f t="shared" ref="X41" si="57">X40/X37</f>
        <v>4.5283018867924525E-2</v>
      </c>
      <c r="Y41" s="31">
        <f t="shared" ref="Y41" si="58">Y40/Y37</f>
        <v>7.421875E-2</v>
      </c>
      <c r="Z41" s="34" t="e">
        <f t="shared" ref="Z41" si="59">Z40/Z37</f>
        <v>#DIV/0!</v>
      </c>
      <c r="AA41" s="13" t="e">
        <f t="shared" ref="AA41" si="60">AA40/AA37</f>
        <v>#DIV/0!</v>
      </c>
      <c r="AB41" s="30" t="e">
        <f t="shared" ref="AB41" si="61">AB40/AB37</f>
        <v>#DIV/0!</v>
      </c>
      <c r="AC41" s="30" t="e">
        <f t="shared" ref="AC41" si="62">AC40/AC37</f>
        <v>#DIV/0!</v>
      </c>
      <c r="AE41" s="30" t="e">
        <f t="shared" ref="AE41:AP41" si="63">AE40/AE37</f>
        <v>#DIV/0!</v>
      </c>
      <c r="AF41" s="13">
        <f t="shared" si="63"/>
        <v>7.8125E-2</v>
      </c>
      <c r="AG41" s="30">
        <f t="shared" si="63"/>
        <v>9.375E-2</v>
      </c>
      <c r="AH41" s="31">
        <f t="shared" si="63"/>
        <v>7.421875E-2</v>
      </c>
      <c r="AI41" s="34" t="e">
        <f t="shared" si="63"/>
        <v>#DIV/0!</v>
      </c>
      <c r="AJ41" s="58">
        <f t="shared" si="63"/>
        <v>9.765625E-2</v>
      </c>
      <c r="AK41" s="58">
        <f t="shared" si="63"/>
        <v>0.10546875</v>
      </c>
      <c r="AL41" s="59">
        <f t="shared" si="63"/>
        <v>0.109375</v>
      </c>
      <c r="AM41" s="34" t="e">
        <f t="shared" si="63"/>
        <v>#DIV/0!</v>
      </c>
      <c r="AN41" s="13">
        <f t="shared" si="63"/>
        <v>3.90625E-2</v>
      </c>
      <c r="AO41" s="30">
        <f t="shared" si="63"/>
        <v>5.859375E-2</v>
      </c>
      <c r="AP41" s="30">
        <f t="shared" si="63"/>
        <v>9.765625E-2</v>
      </c>
      <c r="AR41" s="30" t="e">
        <f t="shared" ref="AR41:BC41" si="64">AR40/AR37</f>
        <v>#DIV/0!</v>
      </c>
      <c r="AS41" s="13">
        <f t="shared" si="64"/>
        <v>4.6875E-2</v>
      </c>
      <c r="AT41" s="30">
        <f t="shared" si="64"/>
        <v>4.6875E-2</v>
      </c>
      <c r="AU41" s="31">
        <f t="shared" si="64"/>
        <v>5.46875E-2</v>
      </c>
      <c r="AV41" s="34" t="e">
        <f t="shared" si="64"/>
        <v>#DIV/0!</v>
      </c>
      <c r="AW41" s="13">
        <f t="shared" si="64"/>
        <v>4.296875E-2</v>
      </c>
      <c r="AX41" s="30">
        <f t="shared" si="64"/>
        <v>7.421875E-2</v>
      </c>
      <c r="AY41" s="31">
        <f t="shared" si="64"/>
        <v>8.203125E-2</v>
      </c>
      <c r="AZ41" s="34" t="e">
        <f t="shared" si="64"/>
        <v>#DIV/0!</v>
      </c>
      <c r="BA41" s="13" t="e">
        <f t="shared" si="64"/>
        <v>#DIV/0!</v>
      </c>
      <c r="BB41" s="30" t="e">
        <f t="shared" si="64"/>
        <v>#DIV/0!</v>
      </c>
      <c r="BC41" s="30" t="e">
        <f t="shared" si="64"/>
        <v>#DIV/0!</v>
      </c>
      <c r="BH41" s="48"/>
      <c r="BI41" s="49" t="s">
        <v>16</v>
      </c>
      <c r="BJ41" s="52">
        <f t="shared" ref="BJ41:BO41" si="65">BJ40/BJ37</f>
        <v>5.859375E-2</v>
      </c>
      <c r="BK41" s="52">
        <f t="shared" si="65"/>
        <v>5.46875E-2</v>
      </c>
      <c r="BL41" s="53">
        <f t="shared" si="65"/>
        <v>0.11328125</v>
      </c>
      <c r="BM41" s="52">
        <f t="shared" si="65"/>
        <v>9.765625E-2</v>
      </c>
      <c r="BN41" s="52">
        <f t="shared" si="65"/>
        <v>0.10546875</v>
      </c>
      <c r="BO41" s="53">
        <f t="shared" si="65"/>
        <v>0.109375</v>
      </c>
    </row>
    <row r="42" spans="3:67" x14ac:dyDescent="0.25">
      <c r="C42" s="79"/>
      <c r="D42" s="80"/>
      <c r="E42" s="67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9"/>
      <c r="R42" s="67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9"/>
      <c r="AE42" s="67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9"/>
      <c r="AR42" s="67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9"/>
      <c r="BH42" s="65" t="s">
        <v>9</v>
      </c>
      <c r="BI42" s="66"/>
      <c r="BJ42" s="50">
        <v>7.9</v>
      </c>
      <c r="BK42" s="50">
        <v>7.6</v>
      </c>
      <c r="BL42" s="51">
        <v>7.6</v>
      </c>
      <c r="BM42" s="50">
        <v>9</v>
      </c>
      <c r="BN42" s="50">
        <v>9.1999999999999993</v>
      </c>
      <c r="BO42" s="51">
        <v>9.1999999999999993</v>
      </c>
    </row>
    <row r="43" spans="3:67" x14ac:dyDescent="0.25">
      <c r="C43" s="75" t="s">
        <v>3</v>
      </c>
      <c r="D43" s="76"/>
      <c r="E43" s="2"/>
      <c r="F43" s="4"/>
      <c r="G43" s="2"/>
      <c r="H43" s="7"/>
      <c r="I43" s="4"/>
      <c r="J43" s="4">
        <v>0.76</v>
      </c>
      <c r="K43" s="2">
        <v>0.71</v>
      </c>
      <c r="L43" s="7">
        <v>0.63</v>
      </c>
      <c r="M43" s="8"/>
      <c r="N43" s="4"/>
      <c r="O43" s="2"/>
      <c r="P43" s="2"/>
      <c r="R43" s="2"/>
      <c r="S43" s="4"/>
      <c r="T43" s="2"/>
      <c r="U43" s="7"/>
      <c r="V43" s="8"/>
      <c r="W43" s="4">
        <v>0.73</v>
      </c>
      <c r="X43" s="2">
        <v>0.75</v>
      </c>
      <c r="Y43" s="7">
        <v>0.63</v>
      </c>
      <c r="Z43" s="8"/>
      <c r="AA43" s="4"/>
      <c r="AB43" s="2"/>
      <c r="AC43" s="2"/>
      <c r="AE43" s="2"/>
      <c r="AF43" s="4">
        <v>0.77</v>
      </c>
      <c r="AG43" s="2">
        <v>0.7</v>
      </c>
      <c r="AH43" s="7">
        <v>0.67</v>
      </c>
      <c r="AI43" s="8"/>
      <c r="AJ43" s="4">
        <v>0.77</v>
      </c>
      <c r="AK43" s="2">
        <v>0.72</v>
      </c>
      <c r="AL43" s="7">
        <v>0.66</v>
      </c>
      <c r="AM43" s="8"/>
      <c r="AN43" s="4">
        <v>0.77</v>
      </c>
      <c r="AO43" s="2">
        <v>0.7</v>
      </c>
      <c r="AP43" s="2">
        <v>0.66</v>
      </c>
      <c r="AR43" s="2"/>
      <c r="AS43" s="4">
        <v>0.8</v>
      </c>
      <c r="AT43" s="2">
        <v>0.77</v>
      </c>
      <c r="AU43" s="7">
        <v>0.68</v>
      </c>
      <c r="AV43" s="8"/>
      <c r="AW43" s="4">
        <v>0.78</v>
      </c>
      <c r="AX43" s="2">
        <v>0.72</v>
      </c>
      <c r="AY43" s="7">
        <v>0.68</v>
      </c>
      <c r="AZ43" s="8"/>
      <c r="BA43" s="4"/>
      <c r="BB43" s="2"/>
      <c r="BC43" s="2"/>
    </row>
    <row r="44" spans="3:67" x14ac:dyDescent="0.25">
      <c r="C44" s="75" t="s">
        <v>4</v>
      </c>
      <c r="D44" s="76"/>
      <c r="E44" s="2"/>
      <c r="F44" s="4"/>
      <c r="G44" s="2"/>
      <c r="H44" s="7"/>
      <c r="I44" s="4"/>
      <c r="J44" s="4">
        <v>0.95</v>
      </c>
      <c r="K44" s="2">
        <v>0.93</v>
      </c>
      <c r="L44" s="7">
        <v>0.82</v>
      </c>
      <c r="M44" s="8"/>
      <c r="N44" s="4"/>
      <c r="O44" s="2"/>
      <c r="P44" s="2"/>
      <c r="R44" s="2"/>
      <c r="S44" s="4"/>
      <c r="T44" s="2"/>
      <c r="U44" s="7"/>
      <c r="V44" s="8"/>
      <c r="W44" s="4">
        <v>0.89</v>
      </c>
      <c r="X44" s="2">
        <v>0.93</v>
      </c>
      <c r="Y44" s="7">
        <v>0.79</v>
      </c>
      <c r="Z44" s="8"/>
      <c r="AA44" s="4"/>
      <c r="AB44" s="2"/>
      <c r="AC44" s="2"/>
      <c r="AE44" s="2"/>
      <c r="AF44" s="4">
        <v>0.91</v>
      </c>
      <c r="AG44" s="2">
        <v>0.85</v>
      </c>
      <c r="AH44" s="7">
        <v>0.81</v>
      </c>
      <c r="AI44" s="8"/>
      <c r="AJ44" s="4">
        <v>0.9</v>
      </c>
      <c r="AK44" s="2">
        <v>0.87</v>
      </c>
      <c r="AL44" s="7">
        <v>0.79</v>
      </c>
      <c r="AM44" s="8"/>
      <c r="AN44" s="4">
        <v>0.95</v>
      </c>
      <c r="AO44" s="2">
        <v>0.91</v>
      </c>
      <c r="AP44" s="2">
        <v>0.79</v>
      </c>
      <c r="AR44" s="2"/>
      <c r="AS44" s="4">
        <v>0.95</v>
      </c>
      <c r="AT44" s="2">
        <v>0.92</v>
      </c>
      <c r="AU44" s="7">
        <v>0.82</v>
      </c>
      <c r="AV44" s="8"/>
      <c r="AW44" s="4">
        <v>0.95</v>
      </c>
      <c r="AX44" s="2">
        <v>0.87</v>
      </c>
      <c r="AY44" s="7">
        <v>0.81</v>
      </c>
      <c r="AZ44" s="8"/>
      <c r="BA44" s="4"/>
      <c r="BB44" s="2"/>
      <c r="BC44" s="2"/>
    </row>
    <row r="45" spans="3:67" x14ac:dyDescent="0.25">
      <c r="C45" s="75" t="s">
        <v>5</v>
      </c>
      <c r="D45" s="76"/>
      <c r="E45" s="2"/>
      <c r="F45" s="4"/>
      <c r="G45" s="2"/>
      <c r="H45" s="7"/>
      <c r="I45" s="4"/>
      <c r="J45" s="4">
        <v>0.79</v>
      </c>
      <c r="K45" s="2">
        <v>0.75</v>
      </c>
      <c r="L45" s="7">
        <v>0.65</v>
      </c>
      <c r="M45" s="8"/>
      <c r="N45" s="4"/>
      <c r="O45" s="2"/>
      <c r="P45" s="2"/>
      <c r="R45" s="2"/>
      <c r="S45" s="4"/>
      <c r="T45" s="2"/>
      <c r="U45" s="7"/>
      <c r="V45" s="8"/>
      <c r="W45" s="4">
        <v>0.81</v>
      </c>
      <c r="X45" s="2">
        <v>0.79</v>
      </c>
      <c r="Y45" s="7">
        <v>0.66</v>
      </c>
      <c r="Z45" s="8"/>
      <c r="AA45" s="4"/>
      <c r="AB45" s="2"/>
      <c r="AC45" s="2"/>
      <c r="AE45" s="2"/>
      <c r="AF45" s="4">
        <v>0.83</v>
      </c>
      <c r="AG45" s="2">
        <v>0.75</v>
      </c>
      <c r="AH45" s="7">
        <v>0.71</v>
      </c>
      <c r="AI45" s="8"/>
      <c r="AJ45" s="4">
        <v>0.85</v>
      </c>
      <c r="AK45" s="2">
        <v>0.79</v>
      </c>
      <c r="AL45" s="7">
        <v>0.72</v>
      </c>
      <c r="AM45" s="8"/>
      <c r="AN45" s="4">
        <v>0.8</v>
      </c>
      <c r="AO45" s="2">
        <v>0.73</v>
      </c>
      <c r="AP45" s="2">
        <v>0.72</v>
      </c>
      <c r="AR45" s="2"/>
      <c r="AS45" s="4">
        <v>0.84</v>
      </c>
      <c r="AT45" s="2">
        <v>0.79</v>
      </c>
      <c r="AU45" s="7">
        <v>0.71</v>
      </c>
      <c r="AV45" s="8"/>
      <c r="AW45" s="4">
        <v>0.82</v>
      </c>
      <c r="AX45" s="2">
        <v>0.77</v>
      </c>
      <c r="AY45" s="7">
        <v>0.72</v>
      </c>
      <c r="AZ45" s="8"/>
      <c r="BA45" s="4"/>
      <c r="BB45" s="2"/>
      <c r="BC45" s="2"/>
    </row>
    <row r="46" spans="3:67" x14ac:dyDescent="0.25">
      <c r="C46" s="75" t="s">
        <v>6</v>
      </c>
      <c r="D46" s="76"/>
      <c r="E46" s="2"/>
      <c r="F46" s="4"/>
      <c r="G46" s="2"/>
      <c r="H46" s="7"/>
      <c r="I46" s="4"/>
      <c r="J46" s="4">
        <v>0.86</v>
      </c>
      <c r="K46" s="2">
        <v>0.83</v>
      </c>
      <c r="L46" s="7">
        <v>0.72</v>
      </c>
      <c r="M46" s="8"/>
      <c r="N46" s="4"/>
      <c r="O46" s="2"/>
      <c r="P46" s="2"/>
      <c r="R46" s="2"/>
      <c r="S46" s="4"/>
      <c r="T46" s="2"/>
      <c r="U46" s="7"/>
      <c r="V46" s="8"/>
      <c r="W46" s="4">
        <v>0.85</v>
      </c>
      <c r="X46" s="2">
        <v>0.85</v>
      </c>
      <c r="Y46" s="7">
        <v>0.71</v>
      </c>
      <c r="Z46" s="8"/>
      <c r="AA46" s="4"/>
      <c r="AB46" s="2"/>
      <c r="AC46" s="2"/>
      <c r="AE46" s="2"/>
      <c r="AF46" s="4">
        <v>0.87</v>
      </c>
      <c r="AG46" s="2">
        <v>0.79</v>
      </c>
      <c r="AH46" s="7">
        <v>0.75</v>
      </c>
      <c r="AI46" s="8"/>
      <c r="AJ46" s="4">
        <v>0.87</v>
      </c>
      <c r="AK46" s="2">
        <v>0.83</v>
      </c>
      <c r="AL46" s="7">
        <v>0.75</v>
      </c>
      <c r="AM46" s="8"/>
      <c r="AN46" s="4">
        <v>0.87</v>
      </c>
      <c r="AO46" s="2">
        <v>0.81</v>
      </c>
      <c r="AP46" s="2">
        <v>0.75</v>
      </c>
      <c r="AR46" s="2"/>
      <c r="AS46" s="4">
        <v>0.89</v>
      </c>
      <c r="AT46" s="2">
        <v>0.85</v>
      </c>
      <c r="AU46" s="7">
        <v>0.76</v>
      </c>
      <c r="AV46" s="8"/>
      <c r="AW46" s="4">
        <v>0.88</v>
      </c>
      <c r="AX46" s="2">
        <v>0.82</v>
      </c>
      <c r="AY46" s="7">
        <v>0.76</v>
      </c>
      <c r="AZ46" s="8"/>
      <c r="BA46" s="4"/>
      <c r="BB46" s="2"/>
      <c r="BC46" s="2"/>
    </row>
    <row r="47" spans="3:67" x14ac:dyDescent="0.25">
      <c r="C47" s="67"/>
      <c r="D47" s="68"/>
      <c r="E47" s="67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9"/>
      <c r="R47" s="67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9"/>
      <c r="AE47" s="67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9"/>
      <c r="AR47" s="67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9"/>
    </row>
    <row r="48" spans="3:67" x14ac:dyDescent="0.25">
      <c r="C48" s="67" t="s">
        <v>15</v>
      </c>
      <c r="D48" s="74"/>
      <c r="E48" s="19"/>
      <c r="F48" s="19"/>
      <c r="G48" s="19"/>
      <c r="H48" s="20"/>
      <c r="I48" s="23"/>
      <c r="J48" s="23">
        <v>9839347</v>
      </c>
      <c r="K48" s="23">
        <v>9839734</v>
      </c>
      <c r="L48" s="25">
        <v>9840121</v>
      </c>
      <c r="M48" s="21"/>
      <c r="N48" s="19"/>
      <c r="O48" s="19"/>
      <c r="P48" s="19"/>
      <c r="R48" s="19"/>
      <c r="S48" s="23"/>
      <c r="T48" s="23"/>
      <c r="U48" s="25"/>
      <c r="V48" s="21"/>
      <c r="W48" s="23">
        <v>9839347</v>
      </c>
      <c r="X48" s="23">
        <v>9839734</v>
      </c>
      <c r="Y48" s="25">
        <v>9840121</v>
      </c>
      <c r="Z48" s="21"/>
      <c r="AA48" s="19"/>
      <c r="AB48" s="19"/>
      <c r="AC48" s="19"/>
      <c r="AE48" s="19"/>
      <c r="AF48" s="23">
        <v>11135987</v>
      </c>
      <c r="AG48" s="23">
        <v>11136374</v>
      </c>
      <c r="AH48" s="25">
        <v>11136761</v>
      </c>
      <c r="AI48" s="21"/>
      <c r="AJ48" s="23">
        <v>9839347</v>
      </c>
      <c r="AK48" s="23">
        <v>9839734</v>
      </c>
      <c r="AL48" s="25">
        <v>9840121</v>
      </c>
      <c r="AM48" s="21"/>
      <c r="AN48" s="23">
        <v>23221699</v>
      </c>
      <c r="AO48" s="23">
        <v>23222278</v>
      </c>
      <c r="AP48" s="23">
        <v>23222857</v>
      </c>
      <c r="AR48" s="19"/>
      <c r="AS48" s="23">
        <v>11135987</v>
      </c>
      <c r="AT48" s="23">
        <v>11136374</v>
      </c>
      <c r="AU48" s="25">
        <v>11136761</v>
      </c>
      <c r="AV48" s="21"/>
      <c r="AW48" s="23">
        <v>9839331</v>
      </c>
      <c r="AX48" s="23">
        <v>9839734</v>
      </c>
      <c r="AY48" s="25">
        <v>9840121</v>
      </c>
      <c r="AZ48" s="21"/>
      <c r="BA48" s="19"/>
      <c r="BB48" s="19"/>
      <c r="BC48" s="19"/>
      <c r="BH48" s="60" t="s">
        <v>10</v>
      </c>
      <c r="BI48" s="61"/>
      <c r="BJ48" s="62" t="s">
        <v>50</v>
      </c>
      <c r="BK48" s="62"/>
      <c r="BL48" s="62"/>
      <c r="BM48" s="62" t="s">
        <v>52</v>
      </c>
      <c r="BN48" s="62"/>
      <c r="BO48" s="62"/>
    </row>
    <row r="49" spans="3:67" x14ac:dyDescent="0.25">
      <c r="C49" s="67" t="s">
        <v>28</v>
      </c>
      <c r="D49" s="74"/>
      <c r="E49" s="19"/>
      <c r="F49" s="19"/>
      <c r="G49" s="19"/>
      <c r="H49" s="20"/>
      <c r="I49" s="19"/>
      <c r="J49" s="19">
        <v>249</v>
      </c>
      <c r="K49" s="19">
        <v>249</v>
      </c>
      <c r="L49" s="20">
        <v>249</v>
      </c>
      <c r="M49" s="21"/>
      <c r="N49" s="19"/>
      <c r="O49" s="19"/>
      <c r="P49" s="19"/>
      <c r="R49" s="19"/>
      <c r="S49" s="19"/>
      <c r="T49" s="19"/>
      <c r="U49" s="20"/>
      <c r="V49" s="21"/>
      <c r="W49" s="19">
        <v>249</v>
      </c>
      <c r="X49" s="19">
        <v>249</v>
      </c>
      <c r="Y49" s="20">
        <v>249</v>
      </c>
      <c r="Z49" s="21"/>
      <c r="AA49" s="19"/>
      <c r="AB49" s="19"/>
      <c r="AC49" s="19"/>
      <c r="AE49" s="19"/>
      <c r="AF49" s="19">
        <v>225</v>
      </c>
      <c r="AG49" s="19">
        <v>225</v>
      </c>
      <c r="AH49" s="20">
        <v>225</v>
      </c>
      <c r="AI49" s="21"/>
      <c r="AJ49" s="19">
        <v>249</v>
      </c>
      <c r="AK49" s="19">
        <v>249</v>
      </c>
      <c r="AL49" s="20">
        <v>249</v>
      </c>
      <c r="AM49" s="21"/>
      <c r="AN49" s="19">
        <v>319</v>
      </c>
      <c r="AO49" s="19">
        <v>319</v>
      </c>
      <c r="AP49" s="19">
        <v>319</v>
      </c>
      <c r="AR49" s="19"/>
      <c r="AS49" s="19">
        <v>225</v>
      </c>
      <c r="AT49" s="19">
        <v>225</v>
      </c>
      <c r="AU49" s="20">
        <v>225</v>
      </c>
      <c r="AV49" s="21"/>
      <c r="AW49" s="19">
        <v>249</v>
      </c>
      <c r="AX49" s="19">
        <v>249</v>
      </c>
      <c r="AY49" s="20">
        <v>249</v>
      </c>
      <c r="AZ49" s="21"/>
      <c r="BA49" s="19"/>
      <c r="BB49" s="19"/>
      <c r="BC49" s="19"/>
      <c r="BH49" s="60" t="s">
        <v>11</v>
      </c>
      <c r="BI49" s="61"/>
      <c r="BJ49" s="54" t="s">
        <v>0</v>
      </c>
      <c r="BK49" s="54" t="s">
        <v>21</v>
      </c>
      <c r="BL49" s="55" t="s">
        <v>22</v>
      </c>
      <c r="BM49" s="54" t="s">
        <v>0</v>
      </c>
      <c r="BN49" s="54" t="s">
        <v>21</v>
      </c>
      <c r="BO49" s="55" t="s">
        <v>22</v>
      </c>
    </row>
    <row r="50" spans="3:67" x14ac:dyDescent="0.25">
      <c r="C50" s="67" t="s">
        <v>29</v>
      </c>
      <c r="D50" s="74"/>
      <c r="E50" s="19"/>
      <c r="F50" s="19"/>
      <c r="G50" s="19"/>
      <c r="H50" s="20"/>
      <c r="I50" s="19"/>
      <c r="J50" s="19" t="s">
        <v>42</v>
      </c>
      <c r="K50" s="19" t="s">
        <v>42</v>
      </c>
      <c r="L50" s="20" t="s">
        <v>42</v>
      </c>
      <c r="M50" s="21"/>
      <c r="N50" s="19"/>
      <c r="O50" s="19"/>
      <c r="P50" s="19"/>
      <c r="R50" s="19"/>
      <c r="S50" s="19"/>
      <c r="T50" s="19"/>
      <c r="U50" s="20"/>
      <c r="V50" s="21"/>
      <c r="W50" s="19" t="s">
        <v>42</v>
      </c>
      <c r="X50" s="19" t="s">
        <v>42</v>
      </c>
      <c r="Y50" s="20" t="s">
        <v>42</v>
      </c>
      <c r="Z50" s="21"/>
      <c r="AA50" s="19"/>
      <c r="AB50" s="19"/>
      <c r="AC50" s="19"/>
      <c r="AE50" s="19"/>
      <c r="AF50" s="19" t="s">
        <v>31</v>
      </c>
      <c r="AG50" s="19" t="s">
        <v>31</v>
      </c>
      <c r="AH50" s="20" t="s">
        <v>35</v>
      </c>
      <c r="AI50" s="21"/>
      <c r="AJ50" s="19" t="s">
        <v>42</v>
      </c>
      <c r="AK50" s="19" t="s">
        <v>42</v>
      </c>
      <c r="AL50" s="20" t="s">
        <v>42</v>
      </c>
      <c r="AM50" s="21"/>
      <c r="AN50" s="19" t="s">
        <v>48</v>
      </c>
      <c r="AO50" s="19" t="s">
        <v>48</v>
      </c>
      <c r="AP50" s="23" t="s">
        <v>48</v>
      </c>
      <c r="AR50" s="19"/>
      <c r="AS50" s="19" t="s">
        <v>31</v>
      </c>
      <c r="AT50" s="19" t="s">
        <v>31</v>
      </c>
      <c r="AU50" s="20" t="s">
        <v>35</v>
      </c>
      <c r="AV50" s="21"/>
      <c r="AW50" s="19" t="s">
        <v>42</v>
      </c>
      <c r="AX50" s="19" t="s">
        <v>42</v>
      </c>
      <c r="AY50" s="20" t="s">
        <v>42</v>
      </c>
      <c r="AZ50" s="21"/>
      <c r="BA50" s="19"/>
      <c r="BB50" s="19"/>
      <c r="BC50" s="19"/>
      <c r="BH50" s="63" t="s">
        <v>13</v>
      </c>
      <c r="BI50" s="64"/>
      <c r="BJ50" s="50">
        <v>256</v>
      </c>
      <c r="BK50" s="50">
        <v>256</v>
      </c>
      <c r="BL50" s="51">
        <v>256</v>
      </c>
      <c r="BM50" s="50">
        <v>256</v>
      </c>
      <c r="BN50" s="50">
        <v>256</v>
      </c>
      <c r="BO50" s="51">
        <v>256</v>
      </c>
    </row>
    <row r="51" spans="3:67" x14ac:dyDescent="0.25">
      <c r="C51" s="75" t="s">
        <v>8</v>
      </c>
      <c r="D51" s="76"/>
      <c r="E51" s="2"/>
      <c r="F51" s="24"/>
      <c r="G51" s="2"/>
      <c r="H51" s="7"/>
      <c r="I51" s="26"/>
      <c r="J51" s="26">
        <v>3.8</v>
      </c>
      <c r="K51" s="2">
        <v>3.9</v>
      </c>
      <c r="L51" s="7">
        <v>4</v>
      </c>
      <c r="M51" s="8"/>
      <c r="N51" s="4"/>
      <c r="O51" s="2"/>
      <c r="P51" s="2"/>
      <c r="R51" s="2"/>
      <c r="S51" s="4"/>
      <c r="T51" s="2"/>
      <c r="U51" s="7"/>
      <c r="V51" s="8"/>
      <c r="W51" s="4">
        <v>1.4</v>
      </c>
      <c r="X51" s="2">
        <v>2.4</v>
      </c>
      <c r="Y51" s="7">
        <v>3.4</v>
      </c>
      <c r="Z51" s="8"/>
      <c r="AA51" s="4"/>
      <c r="AB51" s="2"/>
      <c r="AC51" s="2"/>
      <c r="AE51" s="2"/>
      <c r="AF51" s="4">
        <v>3</v>
      </c>
      <c r="AG51" s="2">
        <v>1.5</v>
      </c>
      <c r="AH51" s="7">
        <v>2.4</v>
      </c>
      <c r="AI51" s="8"/>
      <c r="AJ51" s="4">
        <v>2.5</v>
      </c>
      <c r="AK51" s="2">
        <v>1.9</v>
      </c>
      <c r="AL51" s="7">
        <v>2.2999999999999998</v>
      </c>
      <c r="AM51" s="8"/>
      <c r="AN51" s="4">
        <v>2.5</v>
      </c>
      <c r="AO51" s="2">
        <v>2</v>
      </c>
      <c r="AP51" s="2">
        <v>2.7</v>
      </c>
      <c r="AR51" s="2"/>
      <c r="AS51" s="4">
        <v>2.5</v>
      </c>
      <c r="AT51" s="2">
        <v>1.8</v>
      </c>
      <c r="AU51" s="7">
        <v>1.8</v>
      </c>
      <c r="AV51" s="8"/>
      <c r="AW51" s="4">
        <v>1.7</v>
      </c>
      <c r="AX51" s="2">
        <v>1.6</v>
      </c>
      <c r="AY51" s="7">
        <v>2.2000000000000002</v>
      </c>
      <c r="AZ51" s="8"/>
      <c r="BA51" s="4"/>
      <c r="BB51" s="2"/>
      <c r="BC51" s="2"/>
      <c r="BH51" s="65" t="s">
        <v>1</v>
      </c>
      <c r="BI51" s="66"/>
      <c r="BJ51" s="50">
        <v>42</v>
      </c>
      <c r="BK51" s="50">
        <v>46</v>
      </c>
      <c r="BL51" s="51">
        <v>70</v>
      </c>
      <c r="BM51" s="50">
        <v>52</v>
      </c>
      <c r="BN51" s="50">
        <v>67</v>
      </c>
      <c r="BO51" s="51">
        <v>70</v>
      </c>
    </row>
    <row r="52" spans="3:67" x14ac:dyDescent="0.25">
      <c r="C52" s="67" t="s">
        <v>23</v>
      </c>
      <c r="D52" s="74"/>
      <c r="E52" s="2"/>
      <c r="F52" s="4"/>
      <c r="G52" s="2"/>
      <c r="H52" s="7"/>
      <c r="I52" s="4"/>
      <c r="J52" s="4">
        <v>537</v>
      </c>
      <c r="K52" s="2">
        <v>558</v>
      </c>
      <c r="L52" s="7">
        <v>566</v>
      </c>
      <c r="M52" s="8"/>
      <c r="N52" s="4"/>
      <c r="O52" s="2"/>
      <c r="P52" s="2"/>
      <c r="R52" s="2"/>
      <c r="S52" s="4"/>
      <c r="T52" s="2"/>
      <c r="U52" s="7"/>
      <c r="V52" s="8"/>
      <c r="W52" s="4">
        <v>369</v>
      </c>
      <c r="X52" s="2">
        <v>585</v>
      </c>
      <c r="Y52" s="7">
        <v>824</v>
      </c>
      <c r="Z52" s="8"/>
      <c r="AA52" s="4"/>
      <c r="AB52" s="2"/>
      <c r="AC52" s="2"/>
      <c r="AE52" s="2"/>
      <c r="AF52" s="4">
        <v>8.4</v>
      </c>
      <c r="AG52" s="2">
        <v>397</v>
      </c>
      <c r="AH52" s="7">
        <v>644</v>
      </c>
      <c r="AI52" s="8"/>
      <c r="AJ52" s="4">
        <v>895</v>
      </c>
      <c r="AK52" s="2">
        <v>665</v>
      </c>
      <c r="AL52" s="7">
        <v>822</v>
      </c>
      <c r="AM52" s="8"/>
      <c r="AN52" s="4">
        <v>613</v>
      </c>
      <c r="AO52" s="2">
        <v>482</v>
      </c>
      <c r="AP52" s="2">
        <v>588</v>
      </c>
      <c r="AR52" s="2"/>
      <c r="AS52" s="4">
        <v>1000</v>
      </c>
      <c r="AT52" s="2">
        <v>713</v>
      </c>
      <c r="AU52" s="7">
        <v>721</v>
      </c>
      <c r="AV52" s="8"/>
      <c r="AW52" s="4">
        <v>631</v>
      </c>
      <c r="AX52" s="2">
        <v>587</v>
      </c>
      <c r="AY52" s="7">
        <v>822</v>
      </c>
      <c r="AZ52" s="8"/>
      <c r="BA52" s="4"/>
      <c r="BB52" s="2"/>
      <c r="BC52" s="2"/>
      <c r="BH52" s="48"/>
      <c r="BI52" s="49" t="s">
        <v>14</v>
      </c>
      <c r="BJ52" s="52">
        <f t="shared" ref="BJ52:BO52" si="66">BJ51/BJ50</f>
        <v>0.1640625</v>
      </c>
      <c r="BK52" s="52">
        <f t="shared" si="66"/>
        <v>0.1796875</v>
      </c>
      <c r="BL52" s="53">
        <f t="shared" si="66"/>
        <v>0.2734375</v>
      </c>
      <c r="BM52" s="52">
        <f t="shared" si="66"/>
        <v>0.203125</v>
      </c>
      <c r="BN52" s="52">
        <f t="shared" si="66"/>
        <v>0.26171875</v>
      </c>
      <c r="BO52" s="53">
        <f t="shared" si="66"/>
        <v>0.2734375</v>
      </c>
    </row>
    <row r="53" spans="3:67" x14ac:dyDescent="0.25">
      <c r="C53" s="67" t="s">
        <v>26</v>
      </c>
      <c r="D53" s="74"/>
      <c r="E53" s="2"/>
      <c r="F53" s="4"/>
      <c r="G53" s="2"/>
      <c r="H53" s="7"/>
      <c r="I53" s="4"/>
      <c r="J53" s="4">
        <v>437</v>
      </c>
      <c r="K53" s="2">
        <v>458</v>
      </c>
      <c r="L53" s="7">
        <v>466</v>
      </c>
      <c r="M53" s="8"/>
      <c r="N53" s="4"/>
      <c r="O53" s="2"/>
      <c r="P53" s="2"/>
      <c r="R53" s="2"/>
      <c r="S53" s="4"/>
      <c r="T53" s="2"/>
      <c r="U53" s="7"/>
      <c r="V53" s="8"/>
      <c r="W53" s="4">
        <v>269</v>
      </c>
      <c r="X53" s="2">
        <v>485</v>
      </c>
      <c r="Y53" s="7">
        <v>724</v>
      </c>
      <c r="Z53" s="8"/>
      <c r="AA53" s="4"/>
      <c r="AB53" s="2"/>
      <c r="AC53" s="2"/>
      <c r="AE53" s="2"/>
      <c r="AF53" s="4">
        <v>704</v>
      </c>
      <c r="AG53" s="2">
        <v>297</v>
      </c>
      <c r="AH53" s="7">
        <v>544</v>
      </c>
      <c r="AI53" s="8"/>
      <c r="AJ53" s="4">
        <v>795</v>
      </c>
      <c r="AK53" s="2">
        <v>565</v>
      </c>
      <c r="AL53" s="7">
        <v>722</v>
      </c>
      <c r="AM53" s="8"/>
      <c r="AN53" s="4">
        <v>513</v>
      </c>
      <c r="AO53" s="2">
        <v>382</v>
      </c>
      <c r="AP53" s="2">
        <v>488</v>
      </c>
      <c r="AR53" s="2"/>
      <c r="AS53" s="4">
        <v>900</v>
      </c>
      <c r="AT53" s="2">
        <v>613</v>
      </c>
      <c r="AU53" s="7">
        <v>621</v>
      </c>
      <c r="AV53" s="8"/>
      <c r="AW53" s="4">
        <v>531</v>
      </c>
      <c r="AX53" s="2">
        <v>487</v>
      </c>
      <c r="AY53" s="7">
        <v>722</v>
      </c>
      <c r="AZ53" s="8"/>
      <c r="BA53" s="4"/>
      <c r="BB53" s="2"/>
      <c r="BC53" s="2"/>
      <c r="BH53" s="65" t="s">
        <v>2</v>
      </c>
      <c r="BI53" s="66"/>
      <c r="BJ53" s="50">
        <v>19</v>
      </c>
      <c r="BK53" s="50">
        <v>13</v>
      </c>
      <c r="BL53" s="51">
        <v>14</v>
      </c>
      <c r="BM53" s="50">
        <v>10</v>
      </c>
      <c r="BN53" s="50">
        <v>15</v>
      </c>
      <c r="BO53" s="51">
        <v>25</v>
      </c>
    </row>
    <row r="54" spans="3:67" x14ac:dyDescent="0.25">
      <c r="C54" s="75" t="s">
        <v>7</v>
      </c>
      <c r="D54" s="76"/>
      <c r="E54" s="2"/>
      <c r="F54" s="4"/>
      <c r="G54" s="2"/>
      <c r="H54" s="7"/>
      <c r="I54" s="4"/>
      <c r="J54" s="4">
        <v>0.73</v>
      </c>
      <c r="K54" s="2">
        <v>0.71</v>
      </c>
      <c r="L54" s="7">
        <v>0.65</v>
      </c>
      <c r="M54" s="8"/>
      <c r="N54" s="4"/>
      <c r="O54" s="2"/>
      <c r="P54" s="2"/>
      <c r="R54" s="2"/>
      <c r="S54" s="4"/>
      <c r="T54" s="2"/>
      <c r="U54" s="7"/>
      <c r="V54" s="8"/>
      <c r="W54" s="4">
        <v>0.74</v>
      </c>
      <c r="X54" s="2">
        <v>0.76</v>
      </c>
      <c r="Y54" s="7">
        <v>0.68</v>
      </c>
      <c r="Z54" s="8"/>
      <c r="AA54" s="4"/>
      <c r="AB54" s="2"/>
      <c r="AC54" s="2"/>
      <c r="AE54" s="2"/>
      <c r="AF54" s="4">
        <v>0.79</v>
      </c>
      <c r="AG54" s="2">
        <v>0.73</v>
      </c>
      <c r="AH54" s="7">
        <v>0.68</v>
      </c>
      <c r="AI54" s="8"/>
      <c r="AJ54" s="4">
        <v>0.76</v>
      </c>
      <c r="AK54" s="2">
        <v>0.74</v>
      </c>
      <c r="AL54" s="7">
        <v>0.66</v>
      </c>
      <c r="AM54" s="8"/>
      <c r="AN54" s="4">
        <v>0.74</v>
      </c>
      <c r="AO54" s="2">
        <v>0.73</v>
      </c>
      <c r="AP54" s="2">
        <v>0.64</v>
      </c>
      <c r="AR54" s="2"/>
      <c r="AS54" s="4">
        <v>0.78</v>
      </c>
      <c r="AT54" s="2">
        <v>0.75</v>
      </c>
      <c r="AU54" s="7">
        <v>0.68</v>
      </c>
      <c r="AV54" s="8"/>
      <c r="AW54" s="4">
        <v>0.75</v>
      </c>
      <c r="AX54" s="2">
        <v>0.74</v>
      </c>
      <c r="AY54" s="7">
        <v>0.67</v>
      </c>
      <c r="AZ54" s="8"/>
      <c r="BA54" s="4"/>
      <c r="BB54" s="2"/>
      <c r="BC54" s="2"/>
      <c r="BH54" s="48"/>
      <c r="BI54" s="49" t="s">
        <v>16</v>
      </c>
      <c r="BJ54" s="52">
        <f t="shared" ref="BJ54:BO54" si="67">BJ53/BJ50</f>
        <v>7.421875E-2</v>
      </c>
      <c r="BK54" s="52">
        <f t="shared" si="67"/>
        <v>5.078125E-2</v>
      </c>
      <c r="BL54" s="53">
        <f t="shared" si="67"/>
        <v>5.46875E-2</v>
      </c>
      <c r="BM54" s="52">
        <f t="shared" si="67"/>
        <v>3.90625E-2</v>
      </c>
      <c r="BN54" s="52">
        <f t="shared" si="67"/>
        <v>5.859375E-2</v>
      </c>
      <c r="BO54" s="53">
        <f t="shared" si="67"/>
        <v>9.765625E-2</v>
      </c>
    </row>
    <row r="55" spans="3:67" x14ac:dyDescent="0.25">
      <c r="C55" s="75" t="s">
        <v>9</v>
      </c>
      <c r="D55" s="76"/>
      <c r="E55" s="2"/>
      <c r="F55" s="4"/>
      <c r="G55" s="2"/>
      <c r="H55" s="7"/>
      <c r="I55" s="4"/>
      <c r="J55" s="4">
        <v>10.4</v>
      </c>
      <c r="K55" s="2">
        <v>10.5</v>
      </c>
      <c r="L55" s="7">
        <v>10.6</v>
      </c>
      <c r="M55" s="8"/>
      <c r="N55" s="4"/>
      <c r="O55" s="2"/>
      <c r="P55" s="2"/>
      <c r="R55" s="2"/>
      <c r="S55" s="4"/>
      <c r="T55" s="2"/>
      <c r="U55" s="7"/>
      <c r="V55" s="8"/>
      <c r="W55" s="4">
        <v>9.3000000000000007</v>
      </c>
      <c r="X55" s="2">
        <v>9.6</v>
      </c>
      <c r="Y55" s="7">
        <v>9.1999999999999993</v>
      </c>
      <c r="Z55" s="8"/>
      <c r="AA55" s="4"/>
      <c r="AB55" s="2"/>
      <c r="AC55" s="2"/>
      <c r="AE55" s="2"/>
      <c r="AF55" s="4">
        <v>15.2</v>
      </c>
      <c r="AG55" s="2">
        <v>15</v>
      </c>
      <c r="AH55" s="7">
        <v>15.5</v>
      </c>
      <c r="AI55" s="8"/>
      <c r="AJ55" s="4">
        <v>9</v>
      </c>
      <c r="AK55" s="2">
        <v>9.1999999999999993</v>
      </c>
      <c r="AL55" s="7">
        <v>9.1999999999999993</v>
      </c>
      <c r="AM55" s="8"/>
      <c r="AN55" s="4">
        <v>12.4</v>
      </c>
      <c r="AO55" s="2">
        <v>11.9</v>
      </c>
      <c r="AP55" s="2">
        <v>11.6</v>
      </c>
      <c r="AR55" s="2"/>
      <c r="AS55" s="4">
        <v>14.8</v>
      </c>
      <c r="AT55" s="2">
        <v>15</v>
      </c>
      <c r="AU55" s="7">
        <v>14.7</v>
      </c>
      <c r="AV55" s="8"/>
      <c r="AW55" s="4">
        <v>9.6</v>
      </c>
      <c r="AX55" s="2">
        <v>9.5</v>
      </c>
      <c r="AY55" s="7">
        <v>9.6999999999999993</v>
      </c>
      <c r="AZ55" s="8"/>
      <c r="BA55" s="4"/>
      <c r="BB55" s="2"/>
      <c r="BC55" s="2"/>
      <c r="BH55" s="65" t="s">
        <v>9</v>
      </c>
      <c r="BI55" s="66"/>
      <c r="BJ55" s="50">
        <v>10.8</v>
      </c>
      <c r="BK55" s="50">
        <v>10.9</v>
      </c>
      <c r="BL55" s="51">
        <v>11</v>
      </c>
      <c r="BM55" s="50">
        <v>12.4</v>
      </c>
      <c r="BN55" s="50">
        <v>11.9</v>
      </c>
      <c r="BO55" s="51">
        <v>11.6</v>
      </c>
    </row>
    <row r="58" spans="3:67" ht="28.5" x14ac:dyDescent="0.45">
      <c r="D58" s="27"/>
    </row>
    <row r="59" spans="3:67" ht="21" x14ac:dyDescent="0.35">
      <c r="G59" s="81" t="s">
        <v>53</v>
      </c>
      <c r="H59" s="81"/>
      <c r="I59" s="81"/>
    </row>
    <row r="63" spans="3:67" x14ac:dyDescent="0.25">
      <c r="G63" s="14">
        <v>640</v>
      </c>
      <c r="H63" s="14"/>
      <c r="I63" s="14"/>
      <c r="J63" s="14"/>
      <c r="K63" s="14"/>
      <c r="L63" s="14"/>
      <c r="M63" s="15">
        <v>120</v>
      </c>
      <c r="N63" s="15"/>
      <c r="O63" s="15"/>
      <c r="P63" s="14"/>
      <c r="Q63" s="14"/>
      <c r="R63" s="14"/>
      <c r="S63" s="14"/>
      <c r="T63" s="14"/>
      <c r="U63" s="14"/>
    </row>
    <row r="64" spans="3:67" x14ac:dyDescent="0.25">
      <c r="G64" s="14"/>
      <c r="H64" s="14"/>
      <c r="I64" s="14"/>
      <c r="J64" s="14"/>
      <c r="K64" s="14"/>
      <c r="L64" s="14"/>
      <c r="M64" s="15"/>
      <c r="N64" s="15"/>
      <c r="O64" s="15"/>
      <c r="P64" s="14"/>
      <c r="Q64" s="14"/>
      <c r="R64" s="17">
        <v>60</v>
      </c>
      <c r="S64" s="17"/>
      <c r="T64" s="14"/>
      <c r="U64" s="14"/>
    </row>
    <row r="65" spans="7:21" x14ac:dyDescent="0.25">
      <c r="G65" s="14"/>
      <c r="H65" s="14"/>
      <c r="I65" s="14"/>
      <c r="J65" s="14"/>
      <c r="K65" s="14"/>
      <c r="L65" s="14"/>
      <c r="M65" s="15"/>
      <c r="N65" s="15"/>
      <c r="O65" s="15"/>
      <c r="P65" s="14"/>
      <c r="Q65" s="14"/>
      <c r="R65" s="17"/>
      <c r="S65" s="17"/>
      <c r="T65" s="14"/>
      <c r="U65" s="14"/>
    </row>
    <row r="66" spans="7:21" x14ac:dyDescent="0.25">
      <c r="G66" s="14"/>
      <c r="H66" s="14"/>
      <c r="I66" s="14"/>
      <c r="J66" s="14"/>
      <c r="K66" s="14"/>
      <c r="L66" s="14"/>
      <c r="M66" s="15"/>
      <c r="N66" s="15"/>
      <c r="O66" s="15"/>
      <c r="P66" s="14"/>
      <c r="Q66" s="14"/>
      <c r="R66" s="17"/>
      <c r="S66" s="17"/>
      <c r="T66" s="14"/>
      <c r="U66" s="14"/>
    </row>
    <row r="67" spans="7:21" x14ac:dyDescent="0.25">
      <c r="G67" s="14"/>
      <c r="H67" s="14"/>
      <c r="I67" s="14"/>
      <c r="J67" s="14"/>
      <c r="K67" s="14"/>
      <c r="L67" s="14"/>
      <c r="M67" s="15"/>
      <c r="N67" s="15"/>
      <c r="O67" s="15"/>
      <c r="P67" s="14"/>
      <c r="Q67" s="14"/>
      <c r="R67" s="17"/>
      <c r="S67" s="17"/>
      <c r="T67" s="14"/>
      <c r="U67" s="14"/>
    </row>
    <row r="68" spans="7:21" x14ac:dyDescent="0.25">
      <c r="G68" s="14"/>
      <c r="H68" s="14"/>
      <c r="I68" s="14"/>
      <c r="J68" s="14"/>
      <c r="K68" s="14"/>
      <c r="L68" s="14"/>
      <c r="M68" s="15"/>
      <c r="N68" s="15"/>
      <c r="O68" s="15"/>
      <c r="P68" s="14"/>
      <c r="Q68" s="14"/>
      <c r="R68" s="14"/>
      <c r="S68" s="14"/>
      <c r="T68" s="14"/>
      <c r="U68" s="14"/>
    </row>
    <row r="69" spans="7:21" x14ac:dyDescent="0.25"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7:21" x14ac:dyDescent="0.25"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7:21" x14ac:dyDescent="0.25"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7:21" x14ac:dyDescent="0.25">
      <c r="G72" s="14"/>
      <c r="H72" s="14"/>
      <c r="I72" s="14"/>
      <c r="J72" s="14"/>
      <c r="K72" s="16">
        <v>240</v>
      </c>
      <c r="L72" s="16"/>
      <c r="M72" s="16"/>
      <c r="N72" s="16"/>
      <c r="O72" s="16"/>
      <c r="P72" s="16"/>
      <c r="Q72" s="14"/>
      <c r="R72" s="14"/>
      <c r="S72" s="14"/>
      <c r="T72" s="14"/>
      <c r="U72" s="14"/>
    </row>
    <row r="73" spans="7:21" x14ac:dyDescent="0.25">
      <c r="G73" s="14"/>
      <c r="H73" s="14"/>
      <c r="I73" s="14"/>
      <c r="J73" s="14"/>
      <c r="K73" s="16"/>
      <c r="L73" s="16"/>
      <c r="M73" s="16"/>
      <c r="N73" s="16"/>
      <c r="O73" s="16"/>
      <c r="P73" s="16"/>
      <c r="Q73" s="14"/>
      <c r="R73" s="14"/>
      <c r="S73" s="14"/>
      <c r="T73" s="14"/>
      <c r="U73" s="14"/>
    </row>
    <row r="74" spans="7:21" x14ac:dyDescent="0.25">
      <c r="G74" s="14"/>
      <c r="H74" s="14"/>
      <c r="I74" s="14"/>
      <c r="J74" s="14"/>
      <c r="K74" s="16"/>
      <c r="L74" s="16"/>
      <c r="M74" s="16"/>
      <c r="N74" s="16"/>
      <c r="O74" s="16"/>
      <c r="P74" s="16"/>
      <c r="Q74" s="14"/>
      <c r="R74" s="14"/>
      <c r="S74" s="14"/>
      <c r="T74" s="14"/>
      <c r="U74" s="14"/>
    </row>
    <row r="75" spans="7:21" x14ac:dyDescent="0.25">
      <c r="G75" s="14"/>
      <c r="H75" s="14"/>
      <c r="I75" s="14"/>
      <c r="J75" s="14"/>
      <c r="K75" s="16"/>
      <c r="L75" s="16"/>
      <c r="M75" s="16"/>
      <c r="N75" s="16"/>
      <c r="O75" s="16"/>
      <c r="P75" s="16"/>
      <c r="Q75" s="14"/>
      <c r="R75" s="14"/>
      <c r="S75" s="14"/>
      <c r="T75" s="14"/>
      <c r="U75" s="14"/>
    </row>
    <row r="76" spans="7:21" x14ac:dyDescent="0.25">
      <c r="G76" s="14"/>
      <c r="H76" s="14"/>
      <c r="I76" s="14"/>
      <c r="J76" s="14"/>
      <c r="K76" s="16"/>
      <c r="L76" s="16"/>
      <c r="M76" s="16"/>
      <c r="N76" s="16"/>
      <c r="O76" s="16"/>
      <c r="P76" s="16"/>
      <c r="Q76" s="14"/>
      <c r="R76" s="14"/>
      <c r="S76" s="14"/>
      <c r="T76" s="14"/>
      <c r="U76" s="14"/>
    </row>
    <row r="77" spans="7:21" x14ac:dyDescent="0.25">
      <c r="G77" s="14"/>
      <c r="H77" s="14"/>
      <c r="I77" s="14"/>
      <c r="J77" s="14"/>
      <c r="K77" s="16"/>
      <c r="L77" s="16"/>
      <c r="M77" s="16"/>
      <c r="N77" s="16"/>
      <c r="O77" s="16"/>
      <c r="P77" s="16"/>
      <c r="Q77" s="14"/>
      <c r="R77" s="14"/>
      <c r="S77" s="14"/>
      <c r="T77" s="14"/>
      <c r="U77" s="14"/>
    </row>
    <row r="78" spans="7:21" x14ac:dyDescent="0.25">
      <c r="G78" s="14"/>
      <c r="H78" s="14"/>
      <c r="I78" s="14"/>
      <c r="J78" s="14"/>
      <c r="K78" s="16"/>
      <c r="L78" s="16"/>
      <c r="M78" s="16"/>
      <c r="N78" s="16"/>
      <c r="O78" s="16"/>
      <c r="P78" s="16"/>
      <c r="Q78" s="14"/>
      <c r="R78" s="14"/>
      <c r="S78" s="14"/>
      <c r="T78" s="14"/>
      <c r="U78" s="14"/>
    </row>
    <row r="79" spans="7:21" x14ac:dyDescent="0.25">
      <c r="G79" s="14"/>
      <c r="H79" s="15">
        <v>120</v>
      </c>
      <c r="I79" s="15"/>
      <c r="J79" s="15"/>
      <c r="K79" s="16"/>
      <c r="L79" s="16"/>
      <c r="M79" s="16"/>
      <c r="N79" s="16"/>
      <c r="O79" s="16"/>
      <c r="P79" s="16"/>
      <c r="Q79" s="14"/>
      <c r="R79" s="14"/>
      <c r="S79" s="14"/>
      <c r="T79" s="14"/>
      <c r="U79" s="14"/>
    </row>
    <row r="80" spans="7:21" x14ac:dyDescent="0.25">
      <c r="G80" s="14"/>
      <c r="H80" s="15"/>
      <c r="I80" s="15"/>
      <c r="J80" s="15"/>
      <c r="K80" s="16"/>
      <c r="L80" s="16"/>
      <c r="M80" s="16"/>
      <c r="N80" s="16"/>
      <c r="O80" s="16"/>
      <c r="P80" s="16"/>
      <c r="Q80" s="15">
        <v>120</v>
      </c>
      <c r="R80" s="15"/>
      <c r="S80" s="15"/>
      <c r="T80" s="14"/>
      <c r="U80" s="14"/>
    </row>
    <row r="81" spans="7:21" x14ac:dyDescent="0.25">
      <c r="G81" s="14"/>
      <c r="H81" s="15"/>
      <c r="I81" s="15"/>
      <c r="J81" s="15"/>
      <c r="K81" s="16"/>
      <c r="L81" s="16"/>
      <c r="M81" s="16"/>
      <c r="N81" s="16"/>
      <c r="O81" s="16"/>
      <c r="P81" s="16"/>
      <c r="Q81" s="15"/>
      <c r="R81" s="15"/>
      <c r="S81" s="15"/>
      <c r="T81" s="14"/>
      <c r="U81" s="14"/>
    </row>
    <row r="82" spans="7:21" x14ac:dyDescent="0.25">
      <c r="G82" s="14"/>
      <c r="H82" s="15"/>
      <c r="I82" s="15"/>
      <c r="J82" s="15"/>
      <c r="K82" s="16"/>
      <c r="L82" s="16"/>
      <c r="M82" s="16"/>
      <c r="N82" s="16"/>
      <c r="O82" s="16"/>
      <c r="P82" s="16"/>
      <c r="Q82" s="15"/>
      <c r="R82" s="15"/>
      <c r="S82" s="15"/>
      <c r="T82" s="14"/>
      <c r="U82" s="14"/>
    </row>
    <row r="83" spans="7:21" x14ac:dyDescent="0.25">
      <c r="G83" s="14"/>
      <c r="H83" s="15"/>
      <c r="I83" s="15"/>
      <c r="J83" s="15"/>
      <c r="K83" s="16"/>
      <c r="L83" s="16"/>
      <c r="M83" s="16"/>
      <c r="N83" s="16"/>
      <c r="O83" s="16"/>
      <c r="P83" s="16"/>
      <c r="Q83" s="15"/>
      <c r="R83" s="15"/>
      <c r="S83" s="15"/>
      <c r="T83" s="14"/>
      <c r="U83" s="14"/>
    </row>
    <row r="84" spans="7:21" x14ac:dyDescent="0.25">
      <c r="G84" s="14"/>
      <c r="H84" s="15"/>
      <c r="I84" s="15"/>
      <c r="J84" s="15"/>
      <c r="K84" s="14"/>
      <c r="L84" s="14"/>
      <c r="M84" s="14"/>
      <c r="N84" s="14"/>
      <c r="O84" s="14"/>
      <c r="P84" s="14"/>
      <c r="Q84" s="15"/>
      <c r="R84" s="15"/>
      <c r="S84" s="15"/>
      <c r="T84" s="14"/>
      <c r="U84" s="14"/>
    </row>
    <row r="85" spans="7:21" x14ac:dyDescent="0.25"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5"/>
      <c r="R85" s="15"/>
      <c r="S85" s="15"/>
      <c r="T85" s="14"/>
      <c r="U85" s="14"/>
    </row>
    <row r="86" spans="7:21" x14ac:dyDescent="0.25">
      <c r="G86" s="14"/>
      <c r="H86" s="14"/>
      <c r="I86" s="14"/>
      <c r="J86" s="14"/>
      <c r="K86" s="18">
        <v>180</v>
      </c>
      <c r="L86" s="18"/>
      <c r="M86" s="18"/>
      <c r="N86" s="18"/>
      <c r="O86" s="18"/>
      <c r="P86" s="14"/>
      <c r="Q86" s="14"/>
      <c r="R86" s="14"/>
      <c r="S86" s="14"/>
      <c r="T86" s="14"/>
      <c r="U86" s="14"/>
    </row>
    <row r="87" spans="7:21" x14ac:dyDescent="0.25">
      <c r="G87" s="14"/>
      <c r="H87" s="14"/>
      <c r="I87" s="14"/>
      <c r="J87" s="14"/>
      <c r="K87" s="18"/>
      <c r="L87" s="18"/>
      <c r="M87" s="18"/>
      <c r="N87" s="18"/>
      <c r="O87" s="18"/>
      <c r="P87" s="14"/>
      <c r="Q87" s="14"/>
      <c r="R87" s="14"/>
      <c r="S87" s="14"/>
      <c r="T87" s="14"/>
      <c r="U87" s="14"/>
    </row>
    <row r="88" spans="7:21" x14ac:dyDescent="0.25">
      <c r="G88" s="14"/>
      <c r="H88" s="14"/>
      <c r="I88" s="14"/>
      <c r="J88" s="14"/>
      <c r="K88" s="18"/>
      <c r="L88" s="18"/>
      <c r="M88" s="18"/>
      <c r="N88" s="18"/>
      <c r="O88" s="18"/>
      <c r="P88" s="14"/>
      <c r="Q88" s="14"/>
      <c r="R88" s="14"/>
      <c r="S88" s="14"/>
      <c r="T88" s="14"/>
      <c r="U88" s="14"/>
    </row>
    <row r="89" spans="7:21" x14ac:dyDescent="0.25">
      <c r="G89" s="14"/>
      <c r="H89" s="14"/>
      <c r="I89" s="14"/>
      <c r="J89" s="14"/>
      <c r="K89" s="18"/>
      <c r="L89" s="18"/>
      <c r="M89" s="18"/>
      <c r="N89" s="18"/>
      <c r="O89" s="18"/>
      <c r="P89" s="14"/>
      <c r="Q89" s="14"/>
      <c r="R89" s="14"/>
      <c r="S89" s="14"/>
      <c r="T89" s="14"/>
      <c r="U89" s="14"/>
    </row>
    <row r="90" spans="7:21" x14ac:dyDescent="0.25">
      <c r="G90" s="14"/>
      <c r="H90" s="14"/>
      <c r="I90" s="14"/>
      <c r="J90" s="14"/>
      <c r="K90" s="18"/>
      <c r="L90" s="18"/>
      <c r="M90" s="18"/>
      <c r="N90" s="18"/>
      <c r="O90" s="18"/>
      <c r="P90" s="14"/>
      <c r="Q90" s="14"/>
      <c r="R90" s="14"/>
      <c r="S90" s="14"/>
      <c r="T90" s="14"/>
      <c r="U90" s="14"/>
    </row>
    <row r="91" spans="7:21" x14ac:dyDescent="0.25">
      <c r="G91" s="14"/>
      <c r="H91" s="14"/>
      <c r="I91" s="14"/>
      <c r="J91" s="14"/>
      <c r="K91" s="18"/>
      <c r="L91" s="18"/>
      <c r="M91" s="18"/>
      <c r="N91" s="18"/>
      <c r="O91" s="18"/>
      <c r="P91" s="14"/>
      <c r="Q91" s="14"/>
      <c r="R91" s="14"/>
      <c r="S91" s="14"/>
      <c r="T91" s="14"/>
      <c r="U91" s="14"/>
    </row>
    <row r="92" spans="7:21" x14ac:dyDescent="0.25">
      <c r="G92" s="14"/>
      <c r="H92" s="14"/>
      <c r="I92" s="14"/>
      <c r="J92" s="14"/>
      <c r="K92" s="18"/>
      <c r="L92" s="18"/>
      <c r="M92" s="18"/>
      <c r="N92" s="18"/>
      <c r="O92" s="18"/>
      <c r="P92" s="14"/>
      <c r="Q92" s="14"/>
      <c r="R92" s="14"/>
      <c r="S92" s="14"/>
      <c r="T92" s="14"/>
      <c r="U92" s="14"/>
    </row>
    <row r="93" spans="7:21" x14ac:dyDescent="0.25">
      <c r="G93" s="14"/>
      <c r="H93" s="14"/>
      <c r="I93" s="14"/>
      <c r="J93" s="14"/>
      <c r="K93" s="18"/>
      <c r="L93" s="18"/>
      <c r="M93" s="18"/>
      <c r="N93" s="18"/>
      <c r="O93" s="18"/>
      <c r="P93" s="14"/>
      <c r="Q93" s="14"/>
      <c r="R93" s="14"/>
      <c r="S93" s="14"/>
      <c r="T93" s="14"/>
      <c r="U93" s="14"/>
    </row>
    <row r="94" spans="7:21" x14ac:dyDescent="0.25">
      <c r="G94" s="14"/>
      <c r="H94" s="14"/>
      <c r="I94" s="14"/>
      <c r="J94" s="14"/>
      <c r="K94" s="18"/>
      <c r="L94" s="18"/>
      <c r="M94" s="18"/>
      <c r="N94" s="18"/>
      <c r="O94" s="18"/>
      <c r="P94" s="14"/>
      <c r="Q94" s="14"/>
      <c r="R94" s="14"/>
      <c r="S94" s="14"/>
      <c r="T94" s="14"/>
      <c r="U94" s="14"/>
    </row>
  </sheetData>
  <mergeCells count="110">
    <mergeCell ref="R47:AC47"/>
    <mergeCell ref="R9:U9"/>
    <mergeCell ref="V9:Y9"/>
    <mergeCell ref="Z9:AC9"/>
    <mergeCell ref="R16:AC16"/>
    <mergeCell ref="R21:AC21"/>
    <mergeCell ref="R35:U35"/>
    <mergeCell ref="V35:Y35"/>
    <mergeCell ref="Z35:AC35"/>
    <mergeCell ref="R42:AC42"/>
    <mergeCell ref="E47:P47"/>
    <mergeCell ref="C52:D52"/>
    <mergeCell ref="C51:D51"/>
    <mergeCell ref="C54:D54"/>
    <mergeCell ref="C55:D55"/>
    <mergeCell ref="C53:D53"/>
    <mergeCell ref="C46:D46"/>
    <mergeCell ref="C47:D47"/>
    <mergeCell ref="C48:D48"/>
    <mergeCell ref="C25:D25"/>
    <mergeCell ref="C26:D26"/>
    <mergeCell ref="C35:D35"/>
    <mergeCell ref="C36:D36"/>
    <mergeCell ref="C37:D37"/>
    <mergeCell ref="C38:D38"/>
    <mergeCell ref="C40:D40"/>
    <mergeCell ref="C27:D27"/>
    <mergeCell ref="C42:D42"/>
    <mergeCell ref="C43:D43"/>
    <mergeCell ref="C44:D44"/>
    <mergeCell ref="C45:D45"/>
    <mergeCell ref="C22:D22"/>
    <mergeCell ref="C11:D11"/>
    <mergeCell ref="C16:D16"/>
    <mergeCell ref="C29:D29"/>
    <mergeCell ref="C21:D21"/>
    <mergeCell ref="C12:D12"/>
    <mergeCell ref="C14:D14"/>
    <mergeCell ref="C17:D17"/>
    <mergeCell ref="C9:D9"/>
    <mergeCell ref="C10:D10"/>
    <mergeCell ref="C18:D18"/>
    <mergeCell ref="C19:D19"/>
    <mergeCell ref="C20:D20"/>
    <mergeCell ref="C28:D28"/>
    <mergeCell ref="C23:D23"/>
    <mergeCell ref="C24:D24"/>
    <mergeCell ref="M9:P9"/>
    <mergeCell ref="I9:L9"/>
    <mergeCell ref="I35:L35"/>
    <mergeCell ref="M35:P35"/>
    <mergeCell ref="C49:D49"/>
    <mergeCell ref="C50:D50"/>
    <mergeCell ref="E16:P16"/>
    <mergeCell ref="E21:P21"/>
    <mergeCell ref="E42:P42"/>
    <mergeCell ref="E9:H9"/>
    <mergeCell ref="E35:H35"/>
    <mergeCell ref="AE9:AH9"/>
    <mergeCell ref="AI9:AL9"/>
    <mergeCell ref="AM9:AP9"/>
    <mergeCell ref="AE16:AP16"/>
    <mergeCell ref="AE21:AP21"/>
    <mergeCell ref="AE35:AH35"/>
    <mergeCell ref="AI35:AL35"/>
    <mergeCell ref="AM35:AP35"/>
    <mergeCell ref="AE42:AP42"/>
    <mergeCell ref="AE47:AP47"/>
    <mergeCell ref="AZ35:BC35"/>
    <mergeCell ref="AR42:BC42"/>
    <mergeCell ref="BH16:BI16"/>
    <mergeCell ref="BH10:BI10"/>
    <mergeCell ref="BH11:BI11"/>
    <mergeCell ref="BH12:BI12"/>
    <mergeCell ref="BH9:BI9"/>
    <mergeCell ref="BH14:BI14"/>
    <mergeCell ref="BJ9:BL9"/>
    <mergeCell ref="BM9:BO9"/>
    <mergeCell ref="AR47:BC47"/>
    <mergeCell ref="BH35:BI35"/>
    <mergeCell ref="BJ35:BL35"/>
    <mergeCell ref="BM35:BO35"/>
    <mergeCell ref="BH36:BI36"/>
    <mergeCell ref="BH37:BI37"/>
    <mergeCell ref="BH38:BI38"/>
    <mergeCell ref="BH40:BI40"/>
    <mergeCell ref="BH42:BI42"/>
    <mergeCell ref="AR9:AU9"/>
    <mergeCell ref="AV9:AY9"/>
    <mergeCell ref="AZ9:BC9"/>
    <mergeCell ref="AR16:BC16"/>
    <mergeCell ref="AR21:BC21"/>
    <mergeCell ref="AR35:AU35"/>
    <mergeCell ref="AV35:AY35"/>
    <mergeCell ref="BH48:BI48"/>
    <mergeCell ref="BJ48:BL48"/>
    <mergeCell ref="BM48:BO48"/>
    <mergeCell ref="BH49:BI49"/>
    <mergeCell ref="BH50:BI50"/>
    <mergeCell ref="BH51:BI51"/>
    <mergeCell ref="BH53:BI53"/>
    <mergeCell ref="BH55:BI55"/>
    <mergeCell ref="BH22:BI22"/>
    <mergeCell ref="BJ22:BL22"/>
    <mergeCell ref="BM22:BO22"/>
    <mergeCell ref="BH23:BI23"/>
    <mergeCell ref="BH24:BI24"/>
    <mergeCell ref="BH25:BI25"/>
    <mergeCell ref="BH27:BI27"/>
    <mergeCell ref="BH29:BI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Ahmed.Abdelbasset</dc:creator>
  <cp:lastModifiedBy>ahmed abdelbaset</cp:lastModifiedBy>
  <dcterms:created xsi:type="dcterms:W3CDTF">2015-06-05T18:17:20Z</dcterms:created>
  <dcterms:modified xsi:type="dcterms:W3CDTF">2025-12-02T16:33:05Z</dcterms:modified>
</cp:coreProperties>
</file>