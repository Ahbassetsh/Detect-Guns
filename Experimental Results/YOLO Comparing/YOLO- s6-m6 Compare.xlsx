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 Work\TrainResults\YOLO Comparing\"/>
    </mc:Choice>
  </mc:AlternateContent>
  <xr:revisionPtr revIDLastSave="0" documentId="8_{B814E01E-A955-4062-B6A9-A239CFA4C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K10" i="1"/>
  <c r="L10" i="1"/>
  <c r="F8" i="1"/>
  <c r="G8" i="1"/>
  <c r="H8" i="1"/>
  <c r="I8" i="1"/>
  <c r="J8" i="1"/>
  <c r="K8" i="1"/>
  <c r="L8" i="1"/>
  <c r="E10" i="1"/>
  <c r="E8" i="1"/>
</calcChain>
</file>

<file path=xl/sharedStrings.xml><?xml version="1.0" encoding="utf-8"?>
<sst xmlns="http://schemas.openxmlformats.org/spreadsheetml/2006/main" count="27" uniqueCount="23">
  <si>
    <t>1 CG</t>
  </si>
  <si>
    <t>1 CW</t>
  </si>
  <si>
    <t>2 C</t>
  </si>
  <si>
    <t>3 C</t>
  </si>
  <si>
    <t>s6</t>
  </si>
  <si>
    <t>m6</t>
  </si>
  <si>
    <t>FN</t>
  </si>
  <si>
    <t>FP</t>
  </si>
  <si>
    <t>Acc</t>
  </si>
  <si>
    <t>Prec</t>
  </si>
  <si>
    <t>Recall</t>
  </si>
  <si>
    <t>F1-Score</t>
  </si>
  <si>
    <t>Train Acc</t>
  </si>
  <si>
    <t>Train Time (Hrs)</t>
  </si>
  <si>
    <t>Det. Time(ms)</t>
  </si>
  <si>
    <t>YOLO  Model</t>
  </si>
  <si>
    <t>Dataset</t>
  </si>
  <si>
    <t>YOLO Det. Th. = 0.25</t>
  </si>
  <si>
    <t>Total Instances</t>
  </si>
  <si>
    <t>FN %</t>
  </si>
  <si>
    <t># of parameters</t>
  </si>
  <si>
    <t>2.86 times # of s6</t>
  </si>
  <si>
    <t>FP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</si>
</sst>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6" borderId="3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20"/>
  <sheetViews>
    <sheetView tabSelected="1" workbookViewId="0">
      <selection activeCell="C11" sqref="C11:L11"/>
    </sheetView>
  </sheetViews>
  <sheetFormatPr defaultRowHeight="15" x14ac:dyDescent="0.25"/>
  <sheetData>
    <row r="2" spans="3:12" x14ac:dyDescent="0.25">
      <c r="C2" s="16" t="s">
        <v>17</v>
      </c>
      <c r="D2" s="16"/>
    </row>
    <row r="4" spans="3:12" x14ac:dyDescent="0.25">
      <c r="C4" s="27" t="s">
        <v>15</v>
      </c>
      <c r="D4" s="28"/>
      <c r="E4" s="24" t="s">
        <v>4</v>
      </c>
      <c r="F4" s="25"/>
      <c r="G4" s="25"/>
      <c r="H4" s="25"/>
      <c r="I4" s="25" t="s">
        <v>5</v>
      </c>
      <c r="J4" s="25"/>
      <c r="K4" s="25"/>
      <c r="L4" s="26"/>
    </row>
    <row r="5" spans="3:12" x14ac:dyDescent="0.25">
      <c r="C5" s="27" t="s">
        <v>16</v>
      </c>
      <c r="D5" s="28"/>
      <c r="E5" s="12" t="s">
        <v>0</v>
      </c>
      <c r="F5" s="3" t="s">
        <v>1</v>
      </c>
      <c r="G5" s="3" t="s">
        <v>2</v>
      </c>
      <c r="H5" s="5" t="s">
        <v>3</v>
      </c>
      <c r="I5" s="6" t="s">
        <v>0</v>
      </c>
      <c r="J5" s="3" t="s">
        <v>1</v>
      </c>
      <c r="K5" s="3" t="s">
        <v>2</v>
      </c>
      <c r="L5" s="3" t="s">
        <v>3</v>
      </c>
    </row>
    <row r="6" spans="3:12" x14ac:dyDescent="0.25">
      <c r="C6" s="17" t="s">
        <v>18</v>
      </c>
      <c r="D6" s="18"/>
      <c r="E6" s="13">
        <v>345</v>
      </c>
      <c r="F6" s="4">
        <v>238</v>
      </c>
      <c r="G6" s="2">
        <v>197</v>
      </c>
      <c r="H6" s="7">
        <v>197</v>
      </c>
      <c r="I6" s="8">
        <v>345</v>
      </c>
      <c r="J6" s="4">
        <v>238</v>
      </c>
      <c r="K6" s="2">
        <v>197</v>
      </c>
      <c r="L6" s="2">
        <v>197</v>
      </c>
    </row>
    <row r="7" spans="3:12" x14ac:dyDescent="0.25">
      <c r="C7" s="22" t="s">
        <v>6</v>
      </c>
      <c r="D7" s="23"/>
      <c r="E7" s="13">
        <v>19</v>
      </c>
      <c r="F7" s="4">
        <v>35</v>
      </c>
      <c r="G7" s="2">
        <v>32</v>
      </c>
      <c r="H7" s="7">
        <v>35</v>
      </c>
      <c r="I7" s="8">
        <v>24</v>
      </c>
      <c r="J7" s="4">
        <v>38</v>
      </c>
      <c r="K7" s="2">
        <v>43</v>
      </c>
      <c r="L7" s="2">
        <v>41</v>
      </c>
    </row>
    <row r="8" spans="3:12" x14ac:dyDescent="0.25">
      <c r="C8" s="1"/>
      <c r="D8" s="11" t="s">
        <v>19</v>
      </c>
      <c r="E8" s="14">
        <f t="shared" ref="E8:L8" si="0">E7/E6</f>
        <v>5.5072463768115941E-2</v>
      </c>
      <c r="F8" s="15">
        <f t="shared" si="0"/>
        <v>0.14705882352941177</v>
      </c>
      <c r="G8" s="14">
        <f t="shared" si="0"/>
        <v>0.16243654822335024</v>
      </c>
      <c r="H8" s="9">
        <f t="shared" si="0"/>
        <v>0.17766497461928935</v>
      </c>
      <c r="I8" s="10">
        <f t="shared" si="0"/>
        <v>6.9565217391304349E-2</v>
      </c>
      <c r="J8" s="15">
        <f t="shared" si="0"/>
        <v>0.15966386554621848</v>
      </c>
      <c r="K8" s="14">
        <f t="shared" si="0"/>
        <v>0.21827411167512689</v>
      </c>
      <c r="L8" s="14">
        <f t="shared" si="0"/>
        <v>0.20812182741116753</v>
      </c>
    </row>
    <row r="9" spans="3:12" x14ac:dyDescent="0.25">
      <c r="C9" s="22" t="s">
        <v>7</v>
      </c>
      <c r="D9" s="23"/>
      <c r="E9" s="13">
        <v>23</v>
      </c>
      <c r="F9" s="4">
        <v>17</v>
      </c>
      <c r="G9" s="2">
        <v>16</v>
      </c>
      <c r="H9" s="7">
        <v>9</v>
      </c>
      <c r="I9" s="8">
        <v>15</v>
      </c>
      <c r="J9" s="4">
        <v>6</v>
      </c>
      <c r="K9" s="2">
        <v>5</v>
      </c>
      <c r="L9" s="2">
        <v>7</v>
      </c>
    </row>
    <row r="10" spans="3:12" x14ac:dyDescent="0.25">
      <c r="C10" s="1"/>
      <c r="D10" s="11" t="s">
        <v>22</v>
      </c>
      <c r="E10" s="14">
        <f>E9/E6</f>
        <v>6.6666666666666666E-2</v>
      </c>
      <c r="F10" s="15">
        <f t="shared" ref="F10:L10" si="1">F9/F6</f>
        <v>7.1428571428571425E-2</v>
      </c>
      <c r="G10" s="14">
        <f t="shared" si="1"/>
        <v>8.1218274111675121E-2</v>
      </c>
      <c r="H10" s="9">
        <f t="shared" si="1"/>
        <v>4.5685279187817257E-2</v>
      </c>
      <c r="I10" s="10">
        <f t="shared" si="1"/>
        <v>4.3478260869565216E-2</v>
      </c>
      <c r="J10" s="15">
        <f t="shared" si="1"/>
        <v>2.5210084033613446E-2</v>
      </c>
      <c r="K10" s="14">
        <f t="shared" si="1"/>
        <v>2.5380710659898477E-2</v>
      </c>
      <c r="L10" s="14">
        <f t="shared" si="1"/>
        <v>3.553299492385787E-2</v>
      </c>
    </row>
    <row r="11" spans="3:12" x14ac:dyDescent="0.25">
      <c r="C11" s="17"/>
      <c r="D11" s="19"/>
      <c r="E11" s="19"/>
      <c r="F11" s="19"/>
      <c r="G11" s="19"/>
      <c r="H11" s="19"/>
      <c r="I11" s="19"/>
      <c r="J11" s="19"/>
      <c r="K11" s="19"/>
      <c r="L11" s="21"/>
    </row>
    <row r="12" spans="3:12" x14ac:dyDescent="0.25">
      <c r="C12" s="22" t="s">
        <v>8</v>
      </c>
      <c r="D12" s="23"/>
      <c r="E12" s="13">
        <v>0.89</v>
      </c>
      <c r="F12" s="4">
        <v>0.8</v>
      </c>
      <c r="G12" s="2">
        <v>0.74</v>
      </c>
      <c r="H12" s="7">
        <v>0.7</v>
      </c>
      <c r="I12" s="8">
        <v>0.89</v>
      </c>
      <c r="J12" s="4">
        <v>0.82</v>
      </c>
      <c r="K12" s="2">
        <v>0.74</v>
      </c>
      <c r="L12" s="2">
        <v>0.68</v>
      </c>
    </row>
    <row r="13" spans="3:12" x14ac:dyDescent="0.25">
      <c r="C13" s="22" t="s">
        <v>9</v>
      </c>
      <c r="D13" s="23"/>
      <c r="E13" s="13">
        <v>0.93</v>
      </c>
      <c r="F13" s="4">
        <v>0.92</v>
      </c>
      <c r="G13" s="2">
        <v>0.88</v>
      </c>
      <c r="H13" s="7">
        <v>0.85</v>
      </c>
      <c r="I13" s="8">
        <v>0.96</v>
      </c>
      <c r="J13" s="4">
        <v>0.97</v>
      </c>
      <c r="K13" s="2">
        <v>0.94</v>
      </c>
      <c r="L13" s="2">
        <v>0.83</v>
      </c>
    </row>
    <row r="14" spans="3:12" x14ac:dyDescent="0.25">
      <c r="C14" s="22" t="s">
        <v>10</v>
      </c>
      <c r="D14" s="23"/>
      <c r="E14" s="13">
        <v>0.94</v>
      </c>
      <c r="F14" s="4">
        <v>0.85</v>
      </c>
      <c r="G14" s="2">
        <v>0.8</v>
      </c>
      <c r="H14" s="7">
        <v>0.71</v>
      </c>
      <c r="I14" s="8">
        <v>0.93</v>
      </c>
      <c r="J14" s="4">
        <v>0.84</v>
      </c>
      <c r="K14" s="2">
        <v>0.76</v>
      </c>
      <c r="L14" s="2">
        <v>0.67</v>
      </c>
    </row>
    <row r="15" spans="3:12" x14ac:dyDescent="0.25">
      <c r="C15" s="22" t="s">
        <v>11</v>
      </c>
      <c r="D15" s="23"/>
      <c r="E15" s="13">
        <v>0.94</v>
      </c>
      <c r="F15" s="4">
        <v>0.89</v>
      </c>
      <c r="G15" s="2">
        <v>0.84</v>
      </c>
      <c r="H15" s="7">
        <v>0.77</v>
      </c>
      <c r="I15" s="8">
        <v>0.94</v>
      </c>
      <c r="J15" s="4">
        <v>0.9</v>
      </c>
      <c r="K15" s="2">
        <v>0.84</v>
      </c>
      <c r="L15" s="2">
        <v>0.73</v>
      </c>
    </row>
    <row r="16" spans="3:12" x14ac:dyDescent="0.25">
      <c r="C16" s="17"/>
      <c r="D16" s="19"/>
      <c r="E16" s="19"/>
      <c r="F16" s="19"/>
      <c r="G16" s="19"/>
      <c r="H16" s="19"/>
      <c r="I16" s="19"/>
      <c r="J16" s="19"/>
      <c r="K16" s="19"/>
      <c r="L16" s="21"/>
    </row>
    <row r="17" spans="3:13" x14ac:dyDescent="0.25">
      <c r="C17" s="17" t="s">
        <v>20</v>
      </c>
      <c r="D17" s="18"/>
      <c r="E17" s="19">
        <v>12326164</v>
      </c>
      <c r="F17" s="19"/>
      <c r="G17" s="19"/>
      <c r="H17" s="18"/>
      <c r="I17" s="20">
        <v>35281716</v>
      </c>
      <c r="J17" s="19"/>
      <c r="K17" s="19"/>
      <c r="L17" s="21"/>
      <c r="M17" t="s">
        <v>21</v>
      </c>
    </row>
    <row r="18" spans="3:13" x14ac:dyDescent="0.25">
      <c r="C18" s="22" t="s">
        <v>13</v>
      </c>
      <c r="D18" s="23"/>
      <c r="E18" s="13">
        <v>2.1</v>
      </c>
      <c r="F18" s="4">
        <v>3.1</v>
      </c>
      <c r="G18" s="2">
        <v>3.6</v>
      </c>
      <c r="H18" s="7">
        <v>2.7</v>
      </c>
      <c r="I18" s="8">
        <v>5.9</v>
      </c>
      <c r="J18" s="4">
        <v>4.5999999999999996</v>
      </c>
      <c r="K18" s="2">
        <v>3.9</v>
      </c>
      <c r="L18" s="2">
        <v>3.9</v>
      </c>
    </row>
    <row r="19" spans="3:13" x14ac:dyDescent="0.25">
      <c r="C19" s="22" t="s">
        <v>12</v>
      </c>
      <c r="D19" s="23"/>
      <c r="E19" s="13">
        <v>0.873</v>
      </c>
      <c r="F19" s="4">
        <v>0.78100000000000003</v>
      </c>
      <c r="G19" s="2">
        <v>0.76100000000000001</v>
      </c>
      <c r="H19" s="7">
        <v>0.71399999999999997</v>
      </c>
      <c r="I19" s="8">
        <v>0.874</v>
      </c>
      <c r="J19" s="4">
        <v>0.76800000000000002</v>
      </c>
      <c r="K19" s="2">
        <v>0.748</v>
      </c>
      <c r="L19" s="2">
        <v>0.71299999999999997</v>
      </c>
    </row>
    <row r="20" spans="3:13" x14ac:dyDescent="0.25">
      <c r="C20" s="22" t="s">
        <v>14</v>
      </c>
      <c r="D20" s="23"/>
      <c r="E20" s="13">
        <v>11.9</v>
      </c>
      <c r="F20" s="4">
        <v>11.6</v>
      </c>
      <c r="G20" s="2">
        <v>11.3</v>
      </c>
      <c r="H20" s="7">
        <v>11.6</v>
      </c>
      <c r="I20" s="8">
        <v>16.5</v>
      </c>
      <c r="J20" s="4">
        <v>15.8</v>
      </c>
      <c r="K20" s="2">
        <v>16.100000000000001</v>
      </c>
      <c r="L20" s="2">
        <v>16.600000000000001</v>
      </c>
    </row>
  </sheetData>
  <mergeCells count="20">
    <mergeCell ref="C20:D20"/>
    <mergeCell ref="C16:L16"/>
    <mergeCell ref="E4:H4"/>
    <mergeCell ref="I4:L4"/>
    <mergeCell ref="C7:D7"/>
    <mergeCell ref="C9:D9"/>
    <mergeCell ref="C12:D12"/>
    <mergeCell ref="C4:D4"/>
    <mergeCell ref="C5:D5"/>
    <mergeCell ref="C13:D13"/>
    <mergeCell ref="C14:D14"/>
    <mergeCell ref="C15:D15"/>
    <mergeCell ref="C19:D19"/>
    <mergeCell ref="C18:D18"/>
    <mergeCell ref="C2:D2"/>
    <mergeCell ref="C17:D17"/>
    <mergeCell ref="E17:H17"/>
    <mergeCell ref="I17:L17"/>
    <mergeCell ref="C6:D6"/>
    <mergeCell ref="C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Ahmed.Abdelbasset</dc:creator>
  <cp:lastModifiedBy>ahmed abdelbaset</cp:lastModifiedBy>
  <dcterms:created xsi:type="dcterms:W3CDTF">2015-06-05T18:17:20Z</dcterms:created>
  <dcterms:modified xsi:type="dcterms:W3CDTF">2025-12-02T16:34:23Z</dcterms:modified>
</cp:coreProperties>
</file>