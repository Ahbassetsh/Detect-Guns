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 Work\TrainResults\YOLO Comparing\"/>
    </mc:Choice>
  </mc:AlternateContent>
  <xr:revisionPtr revIDLastSave="0" documentId="13_ncr:1_{C0FFD1CA-F001-4425-A979-C835E67C6681}" xr6:coauthVersionLast="47" xr6:coauthVersionMax="47" xr10:uidLastSave="{00000000-0000-0000-0000-000000000000}"/>
  <bookViews>
    <workbookView xWindow="3555" yWindow="1890" windowWidth="23970" windowHeight="118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4" i="1" l="1"/>
  <c r="X74" i="1"/>
  <c r="W74" i="1"/>
  <c r="V74" i="1"/>
  <c r="T74" i="1"/>
  <c r="S74" i="1"/>
  <c r="R74" i="1"/>
  <c r="P74" i="1"/>
  <c r="O74" i="1"/>
  <c r="N74" i="1"/>
  <c r="L74" i="1"/>
  <c r="K74" i="1"/>
  <c r="J74" i="1"/>
  <c r="H74" i="1"/>
  <c r="G74" i="1"/>
  <c r="F74" i="1"/>
  <c r="X72" i="1"/>
  <c r="W72" i="1"/>
  <c r="V72" i="1"/>
  <c r="T72" i="1"/>
  <c r="S72" i="1"/>
  <c r="R72" i="1"/>
  <c r="P72" i="1"/>
  <c r="O72" i="1"/>
  <c r="N72" i="1"/>
  <c r="L72" i="1"/>
  <c r="K72" i="1"/>
  <c r="J72" i="1"/>
  <c r="H72" i="1"/>
  <c r="G72" i="1"/>
  <c r="F72" i="1"/>
  <c r="X54" i="1"/>
  <c r="W54" i="1"/>
  <c r="V54" i="1"/>
  <c r="T54" i="1"/>
  <c r="S54" i="1"/>
  <c r="R54" i="1"/>
  <c r="P54" i="1"/>
  <c r="O54" i="1"/>
  <c r="N54" i="1"/>
  <c r="L54" i="1"/>
  <c r="J54" i="1"/>
  <c r="H54" i="1"/>
  <c r="G54" i="1"/>
  <c r="F54" i="1"/>
  <c r="X52" i="1"/>
  <c r="W52" i="1"/>
  <c r="V52" i="1"/>
  <c r="T52" i="1"/>
  <c r="S52" i="1"/>
  <c r="R52" i="1"/>
  <c r="P52" i="1"/>
  <c r="O52" i="1"/>
  <c r="N52" i="1"/>
  <c r="L52" i="1"/>
  <c r="K52" i="1"/>
  <c r="J52" i="1"/>
  <c r="H52" i="1"/>
  <c r="G52" i="1"/>
  <c r="F52" i="1"/>
  <c r="X34" i="1"/>
  <c r="W34" i="1"/>
  <c r="V34" i="1"/>
  <c r="T34" i="1"/>
  <c r="S34" i="1"/>
  <c r="R34" i="1"/>
  <c r="P34" i="1"/>
  <c r="O34" i="1"/>
  <c r="N34" i="1"/>
  <c r="L34" i="1"/>
  <c r="K34" i="1"/>
  <c r="J34" i="1"/>
  <c r="H34" i="1"/>
  <c r="G34" i="1"/>
  <c r="F34" i="1"/>
  <c r="X32" i="1"/>
  <c r="W32" i="1"/>
  <c r="V32" i="1"/>
  <c r="T32" i="1"/>
  <c r="S32" i="1"/>
  <c r="R32" i="1"/>
  <c r="P32" i="1"/>
  <c r="O32" i="1"/>
  <c r="N32" i="1"/>
  <c r="L32" i="1"/>
  <c r="K32" i="1"/>
  <c r="J32" i="1"/>
  <c r="H32" i="1"/>
  <c r="G32" i="1"/>
  <c r="F32" i="1"/>
  <c r="X14" i="1"/>
  <c r="W14" i="1"/>
  <c r="V14" i="1"/>
  <c r="T14" i="1"/>
  <c r="S14" i="1"/>
  <c r="R14" i="1"/>
  <c r="P14" i="1"/>
  <c r="O14" i="1"/>
  <c r="N14" i="1"/>
  <c r="L14" i="1"/>
  <c r="K14" i="1"/>
  <c r="J14" i="1"/>
  <c r="H14" i="1"/>
  <c r="G14" i="1"/>
  <c r="F14" i="1"/>
  <c r="X12" i="1"/>
  <c r="W12" i="1"/>
  <c r="V12" i="1"/>
  <c r="T12" i="1"/>
  <c r="S12" i="1"/>
  <c r="R12" i="1"/>
  <c r="P12" i="1"/>
  <c r="O12" i="1"/>
  <c r="N12" i="1"/>
  <c r="L12" i="1"/>
  <c r="K12" i="1"/>
  <c r="J12" i="1"/>
  <c r="H12" i="1"/>
  <c r="G12" i="1"/>
  <c r="F12" i="1"/>
</calcChain>
</file>

<file path=xl/sharedStrings.xml><?xml version="1.0" encoding="utf-8"?>
<sst xmlns="http://schemas.openxmlformats.org/spreadsheetml/2006/main" count="117" uniqueCount="23">
  <si>
    <t>1 CW</t>
  </si>
  <si>
    <t>2 C</t>
  </si>
  <si>
    <t>3 C</t>
  </si>
  <si>
    <t>FN</t>
  </si>
  <si>
    <t>FP</t>
  </si>
  <si>
    <t>Acc</t>
  </si>
  <si>
    <t>Prec</t>
  </si>
  <si>
    <t>Recall</t>
  </si>
  <si>
    <t>F1-Score</t>
  </si>
  <si>
    <t>Dataset</t>
  </si>
  <si>
    <t>YOLO Det. Th.</t>
  </si>
  <si>
    <t>FN %</t>
  </si>
  <si>
    <t>FP %</t>
  </si>
  <si>
    <t>Total Instances</t>
  </si>
  <si>
    <t>Batch64</t>
  </si>
  <si>
    <t>Valid Acc</t>
  </si>
  <si>
    <t>1 CW : changing FN &amp; FP with diff TH.</t>
  </si>
  <si>
    <t>Changing FN with diff no. of classes</t>
  </si>
  <si>
    <t>Changing FP with diff no. of classes</t>
  </si>
  <si>
    <t>YOLOv5s</t>
  </si>
  <si>
    <t>DS image size 640X640</t>
  </si>
  <si>
    <t>DS image size 448X448</t>
  </si>
  <si>
    <t>DS image size 320X320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</si>
</sst>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D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/>
    <xf numFmtId="0" fontId="5" fillId="6" borderId="1" xfId="0" applyFont="1" applyFill="1" applyBorder="1" applyAlignment="1">
      <alignment horizontal="center"/>
    </xf>
    <xf numFmtId="0" fontId="0" fillId="7" borderId="0" xfId="0" applyFill="1"/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(Sheet1!$F$31,Sheet1!$J$31,Sheet1!$N$31,Sheet1!$R$31,Sheet1!$V$31)</c:f>
              <c:numCache>
                <c:formatCode>General</c:formatCode>
                <c:ptCount val="5"/>
                <c:pt idx="0">
                  <c:v>37</c:v>
                </c:pt>
                <c:pt idx="1">
                  <c:v>33</c:v>
                </c:pt>
                <c:pt idx="2">
                  <c:v>31</c:v>
                </c:pt>
                <c:pt idx="3">
                  <c:v>24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4-4FC6-98D3-8C2447171DBA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(Sheet1!$F$33,Sheet1!$J$33,Sheet1!$N$33,Sheet1!$R$33,Sheet1!$V$33)</c:f>
              <c:numCache>
                <c:formatCode>General</c:formatCode>
                <c:ptCount val="5"/>
                <c:pt idx="0">
                  <c:v>9</c:v>
                </c:pt>
                <c:pt idx="1">
                  <c:v>18</c:v>
                </c:pt>
                <c:pt idx="2">
                  <c:v>23</c:v>
                </c:pt>
                <c:pt idx="3">
                  <c:v>33</c:v>
                </c:pt>
                <c:pt idx="4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4-4FC6-98D3-8C244717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(Sheet1!$F$32,Sheet1!$J$32,Sheet1!$N$32,Sheet1!$R$32,Sheet1!$V$32)</c:f>
              <c:numCache>
                <c:formatCode>0%</c:formatCode>
                <c:ptCount val="5"/>
                <c:pt idx="0">
                  <c:v>0.14453125</c:v>
                </c:pt>
                <c:pt idx="1">
                  <c:v>0.12890625</c:v>
                </c:pt>
                <c:pt idx="2">
                  <c:v>0.12109375</c:v>
                </c:pt>
                <c:pt idx="3">
                  <c:v>9.375E-2</c:v>
                </c:pt>
                <c:pt idx="4">
                  <c:v>7.03125E-2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A-4EA7-A756-49877174C319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(Sheet1!$F$34,Sheet1!$J$34,Sheet1!$N$34,Sheet1!$R$34,Sheet1!$V$34)</c:f>
              <c:numCache>
                <c:formatCode>0%</c:formatCode>
                <c:ptCount val="5"/>
                <c:pt idx="0">
                  <c:v>3.515625E-2</c:v>
                </c:pt>
                <c:pt idx="1">
                  <c:v>7.03125E-2</c:v>
                </c:pt>
                <c:pt idx="2">
                  <c:v>8.984375E-2</c:v>
                </c:pt>
                <c:pt idx="3">
                  <c:v>0.12890625</c:v>
                </c:pt>
                <c:pt idx="4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A-4EA7-A756-49877174C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(Sheet1!$F$11,Sheet1!$J$11,Sheet1!$N$11,Sheet1!$R$11,Sheet1!$V$11)</c:f>
              <c:numCache>
                <c:formatCode>General</c:formatCode>
                <c:ptCount val="5"/>
                <c:pt idx="0">
                  <c:v>44</c:v>
                </c:pt>
                <c:pt idx="1">
                  <c:v>44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D-4530-B28C-F0341454AC41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(Sheet1!$F$13,Sheet1!$J$13,Sheet1!$N$13,Sheet1!$R$13,Sheet1!$V$13)</c:f>
              <c:numCache>
                <c:formatCode>General</c:formatCode>
                <c:ptCount val="5"/>
                <c:pt idx="0">
                  <c:v>7</c:v>
                </c:pt>
                <c:pt idx="1">
                  <c:v>26</c:v>
                </c:pt>
                <c:pt idx="2">
                  <c:v>32</c:v>
                </c:pt>
                <c:pt idx="3">
                  <c:v>45</c:v>
                </c:pt>
                <c:pt idx="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D-4530-B28C-F0341454A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(Sheet1!$F$12,Sheet1!$J$12,Sheet1!$N$12,Sheet1!$R$12,Sheet1!$V$12)</c:f>
              <c:numCache>
                <c:formatCode>0%</c:formatCode>
                <c:ptCount val="5"/>
                <c:pt idx="0">
                  <c:v>0.171875</c:v>
                </c:pt>
                <c:pt idx="1">
                  <c:v>0.171875</c:v>
                </c:pt>
                <c:pt idx="2">
                  <c:v>0.16015625</c:v>
                </c:pt>
                <c:pt idx="3">
                  <c:v>0.1484375</c:v>
                </c:pt>
                <c:pt idx="4">
                  <c:v>0.11328125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1-4331-8408-D73FBEF65B85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(Sheet1!$F$14,Sheet1!$J$14,Sheet1!$N$14,Sheet1!$R$14,Sheet1!$V$14)</c:f>
              <c:numCache>
                <c:formatCode>0%</c:formatCode>
                <c:ptCount val="5"/>
                <c:pt idx="0">
                  <c:v>2.734375E-2</c:v>
                </c:pt>
                <c:pt idx="1">
                  <c:v>0.1015625</c:v>
                </c:pt>
                <c:pt idx="2">
                  <c:v>0.125</c:v>
                </c:pt>
                <c:pt idx="3">
                  <c:v>0.17578125</c:v>
                </c:pt>
                <c:pt idx="4">
                  <c:v>0.31640625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1-4331-8408-D73FBEF6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(Sheet1!$F$71,Sheet1!$J$71,Sheet1!$N$71,Sheet1!$R$71,Sheet1!$V$71)</c:f>
              <c:numCache>
                <c:formatCode>General</c:formatCode>
                <c:ptCount val="5"/>
                <c:pt idx="0">
                  <c:v>42</c:v>
                </c:pt>
                <c:pt idx="1">
                  <c:v>41</c:v>
                </c:pt>
                <c:pt idx="2">
                  <c:v>38</c:v>
                </c:pt>
                <c:pt idx="3">
                  <c:v>32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E-4850-9FD9-335D18202B7F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(Sheet1!$F$73,Sheet1!$J$73,Sheet1!$N$73,Sheet1!$R$73,Sheet1!$V$73)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14</c:v>
                </c:pt>
                <c:pt idx="3">
                  <c:v>23</c:v>
                </c:pt>
                <c:pt idx="4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E-4850-9FD9-335D18202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(Sheet1!$F$72,Sheet1!$J$72,Sheet1!$N$72,Sheet1!$R$72,Sheet1!$V$72)</c:f>
              <c:numCache>
                <c:formatCode>0%</c:formatCode>
                <c:ptCount val="5"/>
                <c:pt idx="0">
                  <c:v>0.1640625</c:v>
                </c:pt>
                <c:pt idx="1">
                  <c:v>0.16015625</c:v>
                </c:pt>
                <c:pt idx="2">
                  <c:v>0.1484375</c:v>
                </c:pt>
                <c:pt idx="3">
                  <c:v>0.125</c:v>
                </c:pt>
                <c:pt idx="4">
                  <c:v>8.984375E-2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2-4731-A456-039752C74E92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(Sheet1!$F$74,Sheet1!$J$74,Sheet1!$N$74,Sheet1!$R$74,Sheet1!$V$74)</c:f>
              <c:numCache>
                <c:formatCode>0%</c:formatCode>
                <c:ptCount val="5"/>
                <c:pt idx="0">
                  <c:v>3.125E-2</c:v>
                </c:pt>
                <c:pt idx="1">
                  <c:v>3.125E-2</c:v>
                </c:pt>
                <c:pt idx="2">
                  <c:v>5.46875E-2</c:v>
                </c:pt>
                <c:pt idx="3">
                  <c:v>8.984375E-2</c:v>
                </c:pt>
                <c:pt idx="4">
                  <c:v>0.1640625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2-4731-A456-039752C74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(Sheet1!$F$51,Sheet1!$J$51,Sheet1!$N$51,Sheet1!$R$51,Sheet1!$V$51)</c:f>
              <c:numCache>
                <c:formatCode>General</c:formatCode>
                <c:ptCount val="5"/>
                <c:pt idx="0">
                  <c:v>28</c:v>
                </c:pt>
                <c:pt idx="1">
                  <c:v>23</c:v>
                </c:pt>
                <c:pt idx="2">
                  <c:v>19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F-485C-996E-B237E4643CA2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(Sheet1!$F$53,Sheet1!$J$53,Sheet1!$N$53,Sheet1!$R$53,Sheet1!$V$53)</c:f>
              <c:numCache>
                <c:formatCode>General</c:formatCode>
                <c:ptCount val="5"/>
                <c:pt idx="0">
                  <c:v>15</c:v>
                </c:pt>
                <c:pt idx="1">
                  <c:v>21</c:v>
                </c:pt>
                <c:pt idx="2">
                  <c:v>32</c:v>
                </c:pt>
                <c:pt idx="3">
                  <c:v>46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F-485C-996E-B237E4643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FN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(Sheet1!$F$52,Sheet1!$J$52,Sheet1!$N$52,Sheet1!$R$52,Sheet1!$V$52)</c:f>
              <c:numCache>
                <c:formatCode>0%</c:formatCode>
                <c:ptCount val="5"/>
                <c:pt idx="0">
                  <c:v>0.109375</c:v>
                </c:pt>
                <c:pt idx="1">
                  <c:v>8.984375E-2</c:v>
                </c:pt>
                <c:pt idx="2">
                  <c:v>7.421875E-2</c:v>
                </c:pt>
                <c:pt idx="3">
                  <c:v>7.03125E-2</c:v>
                </c:pt>
                <c:pt idx="4">
                  <c:v>5.859375E-2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5-4D62-A4F4-4B819B58CDE6}"/>
            </c:ext>
          </c:extLst>
        </c:ser>
        <c:ser>
          <c:idx val="1"/>
          <c:order val="1"/>
          <c:tx>
            <c:v>FP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(Sheet1!$F$54,Sheet1!$J$54,Sheet1!$N$54,Sheet1!$R$54,Sheet1!$V$54)</c:f>
              <c:numCache>
                <c:formatCode>0%</c:formatCode>
                <c:ptCount val="5"/>
                <c:pt idx="0">
                  <c:v>5.859375E-2</c:v>
                </c:pt>
                <c:pt idx="1">
                  <c:v>8.203125E-2</c:v>
                </c:pt>
                <c:pt idx="2">
                  <c:v>0.125</c:v>
                </c:pt>
                <c:pt idx="3">
                  <c:v>0.1796875</c:v>
                </c:pt>
                <c:pt idx="4">
                  <c:v>0.27734375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5-4D62-A4F4-4B819B58C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1 CW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(Sheet1!$F$52,Sheet1!$J$52,Sheet1!$N$52,Sheet1!$R$52,Sheet1!$V$52)</c:f>
              <c:numCache>
                <c:formatCode>0%</c:formatCode>
                <c:ptCount val="5"/>
                <c:pt idx="0">
                  <c:v>0.109375</c:v>
                </c:pt>
                <c:pt idx="1">
                  <c:v>8.984375E-2</c:v>
                </c:pt>
                <c:pt idx="2">
                  <c:v>7.421875E-2</c:v>
                </c:pt>
                <c:pt idx="3">
                  <c:v>7.03125E-2</c:v>
                </c:pt>
                <c:pt idx="4">
                  <c:v>5.859375E-2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D-4B0E-AA90-ACD8995E0246}"/>
            </c:ext>
          </c:extLst>
        </c:ser>
        <c:ser>
          <c:idx val="1"/>
          <c:order val="1"/>
          <c:tx>
            <c:v>2 CW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(Sheet1!$G$52,Sheet1!$K$52,Sheet1!$O$52,Sheet1!$S$52,Sheet1!$W$52)</c:f>
              <c:numCache>
                <c:formatCode>0%</c:formatCode>
                <c:ptCount val="5"/>
                <c:pt idx="0">
                  <c:v>0.18359375</c:v>
                </c:pt>
                <c:pt idx="1">
                  <c:v>0.1640625</c:v>
                </c:pt>
                <c:pt idx="2">
                  <c:v>0.15625</c:v>
                </c:pt>
                <c:pt idx="3">
                  <c:v>0.1328125</c:v>
                </c:pt>
                <c:pt idx="4">
                  <c:v>0.1015625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D-4B0E-AA90-ACD8995E0246}"/>
            </c:ext>
          </c:extLst>
        </c:ser>
        <c:ser>
          <c:idx val="2"/>
          <c:order val="2"/>
          <c:tx>
            <c:v>3 CW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(Sheet1!$H$52,Sheet1!$L$52,Sheet1!$P$52,Sheet1!$T$52,Sheet1!$X$52)</c:f>
              <c:numCache>
                <c:formatCode>0%</c:formatCode>
                <c:ptCount val="5"/>
                <c:pt idx="0">
                  <c:v>0.2890625</c:v>
                </c:pt>
                <c:pt idx="1">
                  <c:v>0.265625</c:v>
                </c:pt>
                <c:pt idx="2">
                  <c:v>0.23828125</c:v>
                </c:pt>
                <c:pt idx="3">
                  <c:v>0.203125</c:v>
                </c:pt>
                <c:pt idx="4">
                  <c:v>0.17578125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1D-4B0E-AA90-ACD8995E0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7.1724628171478552E-2"/>
          <c:w val="0.902863517060367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1 CW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(Sheet1!$E$28,Sheet1!$I$28,Sheet1!$M$28,Sheet1!$Q$28,Sheet1!$U$28)</c:f>
              <c:numCache>
                <c:formatCode>General</c:formatCode>
                <c:ptCount val="5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</c:numCache>
            </c:numRef>
          </c:cat>
          <c:val>
            <c:numRef>
              <c:f>(Sheet1!$F$54,Sheet1!$J$54,Sheet1!$N$54,Sheet1!$R$54,Sheet1!$V$54)</c:f>
              <c:numCache>
                <c:formatCode>0%</c:formatCode>
                <c:ptCount val="5"/>
                <c:pt idx="0">
                  <c:v>5.859375E-2</c:v>
                </c:pt>
                <c:pt idx="1">
                  <c:v>8.203125E-2</c:v>
                </c:pt>
                <c:pt idx="2">
                  <c:v>0.125</c:v>
                </c:pt>
                <c:pt idx="3">
                  <c:v>0.1796875</c:v>
                </c:pt>
                <c:pt idx="4">
                  <c:v>0.27734375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7-4998-90DB-CD6D8773CB25}"/>
            </c:ext>
          </c:extLst>
        </c:ser>
        <c:ser>
          <c:idx val="1"/>
          <c:order val="1"/>
          <c:tx>
            <c:v>2 CW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(Sheet1!$G$54,Sheet1!$K$54,Sheet1!$O$54,Sheet1!$S$54,Sheet1!$W$54)</c:f>
              <c:numCache>
                <c:formatCode>0%</c:formatCode>
                <c:ptCount val="5"/>
                <c:pt idx="0">
                  <c:v>5.46875E-2</c:v>
                </c:pt>
                <c:pt idx="1">
                  <c:v>6.640625E-2</c:v>
                </c:pt>
                <c:pt idx="2">
                  <c:v>0.10546875</c:v>
                </c:pt>
                <c:pt idx="3">
                  <c:v>0.13671875</c:v>
                </c:pt>
                <c:pt idx="4">
                  <c:v>0.2421875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7-4998-90DB-CD6D8773CB25}"/>
            </c:ext>
          </c:extLst>
        </c:ser>
        <c:ser>
          <c:idx val="2"/>
          <c:order val="2"/>
          <c:tx>
            <c:v>3 CW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(Sheet1!$H$54,Sheet1!$L$54,Sheet1!$P$54,Sheet1!$T$54,Sheet1!$X$54)</c:f>
              <c:numCache>
                <c:formatCode>0%</c:formatCode>
                <c:ptCount val="5"/>
                <c:pt idx="0">
                  <c:v>0.11328125</c:v>
                </c:pt>
                <c:pt idx="1">
                  <c:v>0.14453125</c:v>
                </c:pt>
                <c:pt idx="2">
                  <c:v>0.19921875</c:v>
                </c:pt>
                <c:pt idx="3">
                  <c:v>0.296875</c:v>
                </c:pt>
                <c:pt idx="4">
                  <c:v>0.48828125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7-4998-90DB-CD6D8773C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0796592"/>
        <c:axId val="1300797072"/>
      </c:lineChart>
      <c:catAx>
        <c:axId val="13007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7072"/>
        <c:crosses val="autoZero"/>
        <c:auto val="1"/>
        <c:lblAlgn val="ctr"/>
        <c:lblOffset val="100"/>
        <c:noMultiLvlLbl val="0"/>
      </c:catAx>
      <c:valAx>
        <c:axId val="1300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96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26</xdr:row>
      <xdr:rowOff>157162</xdr:rowOff>
    </xdr:from>
    <xdr:to>
      <xdr:col>32</xdr:col>
      <xdr:colOff>304800</xdr:colOff>
      <xdr:row>41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6EFD1-1CB8-BB15-8149-9D2D69F9B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26</xdr:row>
      <xdr:rowOff>133350</xdr:rowOff>
    </xdr:from>
    <xdr:to>
      <xdr:col>40</xdr:col>
      <xdr:colOff>304800</xdr:colOff>
      <xdr:row>41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9DDCD-A037-4ED8-A405-3A81458F8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6</xdr:row>
      <xdr:rowOff>142875</xdr:rowOff>
    </xdr:from>
    <xdr:to>
      <xdr:col>32</xdr:col>
      <xdr:colOff>304800</xdr:colOff>
      <xdr:row>21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04803-6AC4-4969-8405-76A8D8556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6</xdr:row>
      <xdr:rowOff>171450</xdr:rowOff>
    </xdr:from>
    <xdr:to>
      <xdr:col>40</xdr:col>
      <xdr:colOff>304800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183E9-F782-4986-B22A-C81071782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66</xdr:row>
      <xdr:rowOff>185737</xdr:rowOff>
    </xdr:from>
    <xdr:to>
      <xdr:col>32</xdr:col>
      <xdr:colOff>304800</xdr:colOff>
      <xdr:row>81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36486B-5051-45BD-8BFC-044F3CF7A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66</xdr:row>
      <xdr:rowOff>161925</xdr:rowOff>
    </xdr:from>
    <xdr:to>
      <xdr:col>40</xdr:col>
      <xdr:colOff>304800</xdr:colOff>
      <xdr:row>81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A95CC2-3D2E-4062-BC35-CCB3CC302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46</xdr:row>
      <xdr:rowOff>171450</xdr:rowOff>
    </xdr:from>
    <xdr:to>
      <xdr:col>32</xdr:col>
      <xdr:colOff>304800</xdr:colOff>
      <xdr:row>61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B30E2C-88B0-4641-AA16-90AD2D3E9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47</xdr:row>
      <xdr:rowOff>9525</xdr:rowOff>
    </xdr:from>
    <xdr:to>
      <xdr:col>40</xdr:col>
      <xdr:colOff>304800</xdr:colOff>
      <xdr:row>61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CE95B7-AF8D-4005-9D7F-65D68EE86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0</xdr:colOff>
      <xdr:row>46</xdr:row>
      <xdr:rowOff>180975</xdr:rowOff>
    </xdr:from>
    <xdr:to>
      <xdr:col>49</xdr:col>
      <xdr:colOff>304800</xdr:colOff>
      <xdr:row>61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B7214A-B76C-49D6-95E8-0BD05FB5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0</xdr:colOff>
      <xdr:row>47</xdr:row>
      <xdr:rowOff>0</xdr:rowOff>
    </xdr:from>
    <xdr:to>
      <xdr:col>57</xdr:col>
      <xdr:colOff>304800</xdr:colOff>
      <xdr:row>61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FD0BF9-1654-4F68-B52F-420B12F16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A8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75" sqref="B75"/>
    </sheetView>
  </sheetViews>
  <sheetFormatPr defaultRowHeight="15" x14ac:dyDescent="0.25"/>
  <sheetData>
    <row r="2" spans="1:3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32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32" x14ac:dyDescent="0.25">
      <c r="C4" s="20" t="s">
        <v>19</v>
      </c>
    </row>
    <row r="5" spans="1:32" x14ac:dyDescent="0.25">
      <c r="AF5" t="s">
        <v>16</v>
      </c>
    </row>
    <row r="6" spans="1:32" x14ac:dyDescent="0.25">
      <c r="B6" t="s">
        <v>20</v>
      </c>
      <c r="C6" s="20"/>
      <c r="D6" s="20"/>
    </row>
    <row r="8" spans="1:32" x14ac:dyDescent="0.25">
      <c r="C8" s="28" t="s">
        <v>10</v>
      </c>
      <c r="D8" s="29"/>
      <c r="E8" s="30">
        <v>0.25</v>
      </c>
      <c r="F8" s="31"/>
      <c r="G8" s="31"/>
      <c r="H8" s="31"/>
      <c r="I8" s="31">
        <v>0.2</v>
      </c>
      <c r="J8" s="31"/>
      <c r="K8" s="31"/>
      <c r="L8" s="31"/>
      <c r="M8" s="31">
        <v>0.15</v>
      </c>
      <c r="N8" s="31"/>
      <c r="O8" s="31"/>
      <c r="P8" s="31"/>
      <c r="Q8" s="31">
        <v>0.1</v>
      </c>
      <c r="R8" s="31"/>
      <c r="S8" s="31"/>
      <c r="T8" s="31"/>
      <c r="U8" s="31">
        <v>0.05</v>
      </c>
      <c r="V8" s="31"/>
      <c r="W8" s="31"/>
      <c r="X8" s="32"/>
    </row>
    <row r="9" spans="1:32" x14ac:dyDescent="0.25">
      <c r="C9" s="28" t="s">
        <v>9</v>
      </c>
      <c r="D9" s="29"/>
      <c r="E9" s="19"/>
      <c r="F9" s="4" t="s">
        <v>0</v>
      </c>
      <c r="G9" s="4" t="s">
        <v>1</v>
      </c>
      <c r="H9" s="10" t="s">
        <v>2</v>
      </c>
      <c r="I9" s="11"/>
      <c r="J9" s="4" t="s">
        <v>0</v>
      </c>
      <c r="K9" s="4" t="s">
        <v>1</v>
      </c>
      <c r="L9" s="10" t="s">
        <v>2</v>
      </c>
      <c r="M9" s="11"/>
      <c r="N9" s="4" t="s">
        <v>0</v>
      </c>
      <c r="O9" s="4" t="s">
        <v>1</v>
      </c>
      <c r="P9" s="10" t="s">
        <v>2</v>
      </c>
      <c r="Q9" s="11"/>
      <c r="R9" s="4" t="s">
        <v>0</v>
      </c>
      <c r="S9" s="4" t="s">
        <v>1</v>
      </c>
      <c r="T9" s="10" t="s">
        <v>2</v>
      </c>
      <c r="U9" s="11"/>
      <c r="V9" s="4" t="s">
        <v>0</v>
      </c>
      <c r="W9" s="4" t="s">
        <v>1</v>
      </c>
      <c r="X9" s="4" t="s">
        <v>2</v>
      </c>
    </row>
    <row r="10" spans="1:32" x14ac:dyDescent="0.25">
      <c r="C10" s="23" t="s">
        <v>13</v>
      </c>
      <c r="D10" s="24"/>
      <c r="E10" s="16"/>
      <c r="F10" s="5">
        <v>256</v>
      </c>
      <c r="G10" s="3">
        <v>256</v>
      </c>
      <c r="H10" s="12">
        <v>256</v>
      </c>
      <c r="I10" s="13"/>
      <c r="J10" s="5">
        <v>256</v>
      </c>
      <c r="K10" s="3">
        <v>256</v>
      </c>
      <c r="L10" s="12">
        <v>256</v>
      </c>
      <c r="M10" s="13"/>
      <c r="N10" s="5">
        <v>256</v>
      </c>
      <c r="O10" s="3">
        <v>256</v>
      </c>
      <c r="P10" s="12">
        <v>256</v>
      </c>
      <c r="Q10" s="13"/>
      <c r="R10" s="5">
        <v>256</v>
      </c>
      <c r="S10" s="3">
        <v>256</v>
      </c>
      <c r="T10" s="12">
        <v>256</v>
      </c>
      <c r="U10" s="13"/>
      <c r="V10" s="5">
        <v>256</v>
      </c>
      <c r="W10" s="3">
        <v>256</v>
      </c>
      <c r="X10" s="3">
        <v>256</v>
      </c>
    </row>
    <row r="11" spans="1:32" x14ac:dyDescent="0.25">
      <c r="C11" s="23" t="s">
        <v>3</v>
      </c>
      <c r="D11" s="24"/>
      <c r="E11" s="16"/>
      <c r="F11" s="5">
        <v>44</v>
      </c>
      <c r="G11" s="3">
        <v>42</v>
      </c>
      <c r="H11" s="12">
        <v>69</v>
      </c>
      <c r="I11" s="13"/>
      <c r="J11" s="5">
        <v>44</v>
      </c>
      <c r="K11" s="3">
        <v>40</v>
      </c>
      <c r="L11" s="12">
        <v>64</v>
      </c>
      <c r="M11" s="13"/>
      <c r="N11" s="6">
        <v>41</v>
      </c>
      <c r="O11" s="3">
        <v>35</v>
      </c>
      <c r="P11" s="12">
        <v>61</v>
      </c>
      <c r="Q11" s="13"/>
      <c r="R11" s="5">
        <v>38</v>
      </c>
      <c r="S11" s="3">
        <v>30</v>
      </c>
      <c r="T11" s="12">
        <v>58</v>
      </c>
      <c r="U11" s="13"/>
      <c r="V11" s="5">
        <v>29</v>
      </c>
      <c r="W11" s="3">
        <v>21</v>
      </c>
      <c r="X11" s="3">
        <v>28</v>
      </c>
    </row>
    <row r="12" spans="1:32" x14ac:dyDescent="0.25">
      <c r="C12" s="2"/>
      <c r="D12" s="18" t="s">
        <v>11</v>
      </c>
      <c r="E12" s="17"/>
      <c r="F12" s="9">
        <f t="shared" ref="F12:X12" si="0">F11/F10</f>
        <v>0.171875</v>
      </c>
      <c r="G12" s="8">
        <f t="shared" si="0"/>
        <v>0.1640625</v>
      </c>
      <c r="H12" s="14">
        <f t="shared" si="0"/>
        <v>0.26953125</v>
      </c>
      <c r="I12" s="15"/>
      <c r="J12" s="9">
        <f t="shared" si="0"/>
        <v>0.171875</v>
      </c>
      <c r="K12" s="8">
        <f t="shared" si="0"/>
        <v>0.15625</v>
      </c>
      <c r="L12" s="14">
        <f t="shared" si="0"/>
        <v>0.25</v>
      </c>
      <c r="M12" s="15"/>
      <c r="N12" s="9">
        <f t="shared" si="0"/>
        <v>0.16015625</v>
      </c>
      <c r="O12" s="8">
        <f t="shared" si="0"/>
        <v>0.13671875</v>
      </c>
      <c r="P12" s="14">
        <f t="shared" si="0"/>
        <v>0.23828125</v>
      </c>
      <c r="Q12" s="15"/>
      <c r="R12" s="9">
        <f t="shared" si="0"/>
        <v>0.1484375</v>
      </c>
      <c r="S12" s="8">
        <f t="shared" si="0"/>
        <v>0.1171875</v>
      </c>
      <c r="T12" s="14">
        <f t="shared" si="0"/>
        <v>0.2265625</v>
      </c>
      <c r="U12" s="15"/>
      <c r="V12" s="9">
        <f t="shared" si="0"/>
        <v>0.11328125</v>
      </c>
      <c r="W12" s="8">
        <f t="shared" si="0"/>
        <v>8.203125E-2</v>
      </c>
      <c r="X12" s="8">
        <f t="shared" si="0"/>
        <v>0.109375</v>
      </c>
    </row>
    <row r="13" spans="1:32" x14ac:dyDescent="0.25">
      <c r="C13" s="23" t="s">
        <v>4</v>
      </c>
      <c r="D13" s="24"/>
      <c r="E13" s="16"/>
      <c r="F13" s="5">
        <v>7</v>
      </c>
      <c r="G13" s="3">
        <v>15</v>
      </c>
      <c r="H13" s="12">
        <v>17</v>
      </c>
      <c r="I13" s="13"/>
      <c r="J13" s="5">
        <v>26</v>
      </c>
      <c r="K13" s="3">
        <v>22</v>
      </c>
      <c r="L13" s="12">
        <v>27</v>
      </c>
      <c r="M13" s="13"/>
      <c r="N13" s="6">
        <v>32</v>
      </c>
      <c r="O13" s="3">
        <v>27</v>
      </c>
      <c r="P13" s="12">
        <v>36</v>
      </c>
      <c r="Q13" s="13"/>
      <c r="R13" s="5">
        <v>45</v>
      </c>
      <c r="S13" s="3">
        <v>45</v>
      </c>
      <c r="T13" s="12">
        <v>42</v>
      </c>
      <c r="U13" s="13"/>
      <c r="V13" s="5">
        <v>81</v>
      </c>
      <c r="W13" s="3">
        <v>90</v>
      </c>
      <c r="X13" s="3">
        <v>75</v>
      </c>
    </row>
    <row r="14" spans="1:32" x14ac:dyDescent="0.25">
      <c r="C14" s="1"/>
      <c r="D14" s="18" t="s">
        <v>12</v>
      </c>
      <c r="E14" s="17"/>
      <c r="F14" s="9">
        <f t="shared" ref="F14:X14" si="1">F13/F10</f>
        <v>2.734375E-2</v>
      </c>
      <c r="G14" s="8">
        <f t="shared" si="1"/>
        <v>5.859375E-2</v>
      </c>
      <c r="H14" s="14">
        <f t="shared" si="1"/>
        <v>6.640625E-2</v>
      </c>
      <c r="I14" s="15"/>
      <c r="J14" s="9">
        <f t="shared" si="1"/>
        <v>0.1015625</v>
      </c>
      <c r="K14" s="8">
        <f t="shared" si="1"/>
        <v>8.59375E-2</v>
      </c>
      <c r="L14" s="14">
        <f t="shared" si="1"/>
        <v>0.10546875</v>
      </c>
      <c r="M14" s="15"/>
      <c r="N14" s="9">
        <f t="shared" si="1"/>
        <v>0.125</v>
      </c>
      <c r="O14" s="8">
        <f t="shared" si="1"/>
        <v>0.10546875</v>
      </c>
      <c r="P14" s="14">
        <f t="shared" si="1"/>
        <v>0.140625</v>
      </c>
      <c r="Q14" s="15"/>
      <c r="R14" s="9">
        <f t="shared" si="1"/>
        <v>0.17578125</v>
      </c>
      <c r="S14" s="8">
        <f t="shared" si="1"/>
        <v>0.17578125</v>
      </c>
      <c r="T14" s="14">
        <f t="shared" si="1"/>
        <v>0.1640625</v>
      </c>
      <c r="U14" s="15"/>
      <c r="V14" s="9">
        <f t="shared" si="1"/>
        <v>0.31640625</v>
      </c>
      <c r="W14" s="8">
        <f t="shared" si="1"/>
        <v>0.3515625</v>
      </c>
      <c r="X14" s="8">
        <f t="shared" si="1"/>
        <v>0.29296875</v>
      </c>
    </row>
    <row r="15" spans="1:32" x14ac:dyDescent="0.25"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7"/>
    </row>
    <row r="16" spans="1:32" x14ac:dyDescent="0.25">
      <c r="C16" s="23" t="s">
        <v>5</v>
      </c>
      <c r="D16" s="24"/>
      <c r="E16" s="16"/>
      <c r="F16" s="5">
        <v>0.81</v>
      </c>
      <c r="G16" s="3">
        <v>0.79</v>
      </c>
      <c r="H16" s="12">
        <v>0.69</v>
      </c>
      <c r="I16" s="13"/>
      <c r="J16" s="5">
        <v>0.75</v>
      </c>
      <c r="K16" s="3">
        <v>0.78</v>
      </c>
      <c r="L16" s="12">
        <v>0.68</v>
      </c>
      <c r="M16" s="13"/>
      <c r="N16" s="7">
        <v>0.75</v>
      </c>
      <c r="O16" s="3">
        <v>0.78</v>
      </c>
      <c r="P16" s="12">
        <v>0.67</v>
      </c>
      <c r="Q16" s="13"/>
      <c r="R16" s="5">
        <v>0.72</v>
      </c>
      <c r="S16" s="3">
        <v>0.75</v>
      </c>
      <c r="T16" s="12">
        <v>0.66</v>
      </c>
      <c r="U16" s="13"/>
      <c r="V16" s="5">
        <v>0.67</v>
      </c>
      <c r="W16" s="3">
        <v>0.68</v>
      </c>
      <c r="X16" s="3">
        <v>0.62</v>
      </c>
    </row>
    <row r="17" spans="2:24" x14ac:dyDescent="0.25">
      <c r="C17" s="23" t="s">
        <v>6</v>
      </c>
      <c r="D17" s="24"/>
      <c r="E17" s="16"/>
      <c r="F17" s="5">
        <v>0.97</v>
      </c>
      <c r="G17" s="3">
        <v>0.92</v>
      </c>
      <c r="H17" s="12">
        <v>0.81</v>
      </c>
      <c r="I17" s="13"/>
      <c r="J17" s="5">
        <v>0.89</v>
      </c>
      <c r="K17" s="3">
        <v>0.89</v>
      </c>
      <c r="L17" s="12">
        <v>0.78</v>
      </c>
      <c r="M17" s="13"/>
      <c r="N17" s="7">
        <v>0.87</v>
      </c>
      <c r="O17" s="3">
        <v>0.87</v>
      </c>
      <c r="P17" s="12">
        <v>0.75</v>
      </c>
      <c r="Q17" s="13"/>
      <c r="R17" s="5">
        <v>0.83</v>
      </c>
      <c r="S17" s="3">
        <v>0.82</v>
      </c>
      <c r="T17" s="12">
        <v>0.73</v>
      </c>
      <c r="U17" s="13"/>
      <c r="V17" s="5">
        <v>0.74</v>
      </c>
      <c r="W17" s="3">
        <v>0.72</v>
      </c>
      <c r="X17" s="3">
        <v>0.66</v>
      </c>
    </row>
    <row r="18" spans="2:24" x14ac:dyDescent="0.25">
      <c r="C18" s="23" t="s">
        <v>7</v>
      </c>
      <c r="D18" s="24"/>
      <c r="E18" s="16"/>
      <c r="F18" s="5">
        <v>0.83</v>
      </c>
      <c r="G18" s="3">
        <v>0.84</v>
      </c>
      <c r="H18" s="12">
        <v>0.72</v>
      </c>
      <c r="I18" s="13"/>
      <c r="J18" s="5">
        <v>0.83</v>
      </c>
      <c r="K18" s="3">
        <v>0.84</v>
      </c>
      <c r="L18" s="12">
        <v>0.74</v>
      </c>
      <c r="M18" s="13"/>
      <c r="N18" s="7">
        <v>0.84</v>
      </c>
      <c r="O18" s="3">
        <v>0.86</v>
      </c>
      <c r="P18" s="12">
        <v>0.75</v>
      </c>
      <c r="Q18" s="13"/>
      <c r="R18" s="5">
        <v>0.85</v>
      </c>
      <c r="S18" s="3">
        <v>0.89</v>
      </c>
      <c r="T18" s="12">
        <v>0.76</v>
      </c>
      <c r="U18" s="13"/>
      <c r="V18" s="5">
        <v>0.89</v>
      </c>
      <c r="W18" s="3">
        <v>0.92</v>
      </c>
      <c r="X18" s="3">
        <v>0.79</v>
      </c>
    </row>
    <row r="19" spans="2:24" x14ac:dyDescent="0.25">
      <c r="C19" s="23" t="s">
        <v>8</v>
      </c>
      <c r="D19" s="24"/>
      <c r="E19" s="16"/>
      <c r="F19" s="5">
        <v>0.89</v>
      </c>
      <c r="G19" s="3">
        <v>0.88</v>
      </c>
      <c r="H19" s="12">
        <v>0.76</v>
      </c>
      <c r="I19" s="13"/>
      <c r="J19" s="5">
        <v>0.86</v>
      </c>
      <c r="K19" s="3">
        <v>0.87</v>
      </c>
      <c r="L19" s="12">
        <v>0.75</v>
      </c>
      <c r="M19" s="13"/>
      <c r="N19" s="7">
        <v>0.85</v>
      </c>
      <c r="O19" s="3">
        <v>0.87</v>
      </c>
      <c r="P19" s="12">
        <v>0.75</v>
      </c>
      <c r="Q19" s="13"/>
      <c r="R19" s="5">
        <v>0.84</v>
      </c>
      <c r="S19" s="3">
        <v>0.85</v>
      </c>
      <c r="T19" s="12">
        <v>0.74</v>
      </c>
      <c r="U19" s="13"/>
      <c r="V19" s="5">
        <v>0.8</v>
      </c>
      <c r="W19" s="3">
        <v>0.8</v>
      </c>
      <c r="X19" s="3">
        <v>0.72</v>
      </c>
    </row>
    <row r="20" spans="2:24" x14ac:dyDescent="0.25"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7"/>
    </row>
    <row r="21" spans="2:24" x14ac:dyDescent="0.25">
      <c r="C21" s="23" t="s">
        <v>15</v>
      </c>
      <c r="D21" s="24"/>
      <c r="E21" s="16"/>
      <c r="F21" s="5">
        <v>0.78</v>
      </c>
      <c r="G21" s="3">
        <v>0.77</v>
      </c>
      <c r="H21" s="12">
        <v>0.7</v>
      </c>
      <c r="I21" s="13"/>
      <c r="J21" s="5">
        <v>0.78</v>
      </c>
      <c r="K21" s="3">
        <v>0.77</v>
      </c>
      <c r="L21" s="12">
        <v>0.7</v>
      </c>
      <c r="M21" s="13"/>
      <c r="N21" s="21">
        <v>0.77</v>
      </c>
      <c r="O21" s="3">
        <v>0.76</v>
      </c>
      <c r="P21" s="12">
        <v>0.69</v>
      </c>
      <c r="Q21" s="13"/>
      <c r="R21" s="5">
        <v>0.75</v>
      </c>
      <c r="S21" s="3">
        <v>0.75</v>
      </c>
      <c r="T21" s="12">
        <v>0.67</v>
      </c>
      <c r="U21" s="13"/>
      <c r="V21" s="5">
        <v>0.71</v>
      </c>
      <c r="W21" s="3">
        <v>0.67</v>
      </c>
      <c r="X21" s="3">
        <v>0.63</v>
      </c>
    </row>
    <row r="26" spans="2:24" x14ac:dyDescent="0.25">
      <c r="B26" t="s">
        <v>21</v>
      </c>
      <c r="C26" s="20"/>
      <c r="D26" s="20"/>
    </row>
    <row r="28" spans="2:24" x14ac:dyDescent="0.25">
      <c r="C28" s="28" t="s">
        <v>10</v>
      </c>
      <c r="D28" s="29"/>
      <c r="E28" s="30">
        <v>0.25</v>
      </c>
      <c r="F28" s="31"/>
      <c r="G28" s="31"/>
      <c r="H28" s="31"/>
      <c r="I28" s="31">
        <v>0.2</v>
      </c>
      <c r="J28" s="31"/>
      <c r="K28" s="31"/>
      <c r="L28" s="31"/>
      <c r="M28" s="31">
        <v>0.15</v>
      </c>
      <c r="N28" s="31"/>
      <c r="O28" s="31"/>
      <c r="P28" s="31"/>
      <c r="Q28" s="31">
        <v>0.1</v>
      </c>
      <c r="R28" s="31"/>
      <c r="S28" s="31"/>
      <c r="T28" s="31"/>
      <c r="U28" s="31">
        <v>0.05</v>
      </c>
      <c r="V28" s="31"/>
      <c r="W28" s="31"/>
      <c r="X28" s="32"/>
    </row>
    <row r="29" spans="2:24" x14ac:dyDescent="0.25">
      <c r="C29" s="28" t="s">
        <v>9</v>
      </c>
      <c r="D29" s="29"/>
      <c r="E29" s="19"/>
      <c r="F29" s="4" t="s">
        <v>0</v>
      </c>
      <c r="G29" s="4" t="s">
        <v>1</v>
      </c>
      <c r="H29" s="10" t="s">
        <v>2</v>
      </c>
      <c r="I29" s="11"/>
      <c r="J29" s="4" t="s">
        <v>0</v>
      </c>
      <c r="K29" s="4" t="s">
        <v>1</v>
      </c>
      <c r="L29" s="10" t="s">
        <v>2</v>
      </c>
      <c r="M29" s="11"/>
      <c r="N29" s="4" t="s">
        <v>0</v>
      </c>
      <c r="O29" s="4" t="s">
        <v>1</v>
      </c>
      <c r="P29" s="10" t="s">
        <v>2</v>
      </c>
      <c r="Q29" s="11"/>
      <c r="R29" s="4" t="s">
        <v>0</v>
      </c>
      <c r="S29" s="4" t="s">
        <v>1</v>
      </c>
      <c r="T29" s="10" t="s">
        <v>2</v>
      </c>
      <c r="U29" s="11"/>
      <c r="V29" s="4" t="s">
        <v>0</v>
      </c>
      <c r="W29" s="4" t="s">
        <v>1</v>
      </c>
      <c r="X29" s="4" t="s">
        <v>2</v>
      </c>
    </row>
    <row r="30" spans="2:24" x14ac:dyDescent="0.25">
      <c r="C30" s="23" t="s">
        <v>13</v>
      </c>
      <c r="D30" s="24"/>
      <c r="E30" s="16"/>
      <c r="F30" s="5">
        <v>256</v>
      </c>
      <c r="G30" s="3">
        <v>256</v>
      </c>
      <c r="H30" s="12">
        <v>256</v>
      </c>
      <c r="I30" s="13"/>
      <c r="J30" s="5">
        <v>256</v>
      </c>
      <c r="K30" s="3">
        <v>256</v>
      </c>
      <c r="L30" s="12">
        <v>256</v>
      </c>
      <c r="M30" s="13"/>
      <c r="N30" s="5">
        <v>256</v>
      </c>
      <c r="O30" s="3">
        <v>256</v>
      </c>
      <c r="P30" s="12">
        <v>256</v>
      </c>
      <c r="Q30" s="13"/>
      <c r="R30" s="5">
        <v>256</v>
      </c>
      <c r="S30" s="3">
        <v>256</v>
      </c>
      <c r="T30" s="12">
        <v>256</v>
      </c>
      <c r="U30" s="13"/>
      <c r="V30" s="5">
        <v>256</v>
      </c>
      <c r="W30" s="3">
        <v>256</v>
      </c>
      <c r="X30" s="3">
        <v>256</v>
      </c>
    </row>
    <row r="31" spans="2:24" x14ac:dyDescent="0.25">
      <c r="C31" s="23" t="s">
        <v>3</v>
      </c>
      <c r="D31" s="24"/>
      <c r="E31" s="16"/>
      <c r="F31" s="5">
        <v>37</v>
      </c>
      <c r="G31" s="3">
        <v>46</v>
      </c>
      <c r="H31" s="12">
        <v>67</v>
      </c>
      <c r="I31" s="13"/>
      <c r="J31" s="5">
        <v>33</v>
      </c>
      <c r="K31" s="3">
        <v>44</v>
      </c>
      <c r="L31" s="12">
        <v>65</v>
      </c>
      <c r="M31" s="13"/>
      <c r="N31" s="6">
        <v>31</v>
      </c>
      <c r="O31" s="3">
        <v>39</v>
      </c>
      <c r="P31" s="12">
        <v>62</v>
      </c>
      <c r="Q31" s="13"/>
      <c r="R31" s="5">
        <v>24</v>
      </c>
      <c r="S31" s="3">
        <v>37</v>
      </c>
      <c r="T31" s="12">
        <v>61</v>
      </c>
      <c r="U31" s="13"/>
      <c r="V31" s="5">
        <v>18</v>
      </c>
      <c r="W31" s="3">
        <v>35</v>
      </c>
      <c r="X31" s="3">
        <v>57</v>
      </c>
    </row>
    <row r="32" spans="2:24" x14ac:dyDescent="0.25">
      <c r="C32" s="2"/>
      <c r="D32" s="18" t="s">
        <v>11</v>
      </c>
      <c r="E32" s="17"/>
      <c r="F32" s="9">
        <f t="shared" ref="F32:X32" si="2">F31/F30</f>
        <v>0.14453125</v>
      </c>
      <c r="G32" s="8">
        <f t="shared" si="2"/>
        <v>0.1796875</v>
      </c>
      <c r="H32" s="14">
        <f t="shared" si="2"/>
        <v>0.26171875</v>
      </c>
      <c r="I32" s="15"/>
      <c r="J32" s="9">
        <f t="shared" si="2"/>
        <v>0.12890625</v>
      </c>
      <c r="K32" s="8">
        <f t="shared" si="2"/>
        <v>0.171875</v>
      </c>
      <c r="L32" s="14">
        <f t="shared" si="2"/>
        <v>0.25390625</v>
      </c>
      <c r="M32" s="15"/>
      <c r="N32" s="9">
        <f t="shared" si="2"/>
        <v>0.12109375</v>
      </c>
      <c r="O32" s="8">
        <f t="shared" si="2"/>
        <v>0.15234375</v>
      </c>
      <c r="P32" s="14">
        <f t="shared" si="2"/>
        <v>0.2421875</v>
      </c>
      <c r="Q32" s="15"/>
      <c r="R32" s="9">
        <f t="shared" si="2"/>
        <v>9.375E-2</v>
      </c>
      <c r="S32" s="8">
        <f t="shared" si="2"/>
        <v>0.14453125</v>
      </c>
      <c r="T32" s="14">
        <f t="shared" si="2"/>
        <v>0.23828125</v>
      </c>
      <c r="U32" s="15"/>
      <c r="V32" s="9">
        <f t="shared" si="2"/>
        <v>7.03125E-2</v>
      </c>
      <c r="W32" s="8">
        <f t="shared" si="2"/>
        <v>0.13671875</v>
      </c>
      <c r="X32" s="8">
        <f t="shared" si="2"/>
        <v>0.22265625</v>
      </c>
    </row>
    <row r="33" spans="2:53" x14ac:dyDescent="0.25">
      <c r="C33" s="23" t="s">
        <v>4</v>
      </c>
      <c r="D33" s="24"/>
      <c r="E33" s="16"/>
      <c r="F33" s="5">
        <v>9</v>
      </c>
      <c r="G33" s="3">
        <v>17</v>
      </c>
      <c r="H33" s="12">
        <v>12</v>
      </c>
      <c r="I33" s="13"/>
      <c r="J33" s="5">
        <v>18</v>
      </c>
      <c r="K33" s="3">
        <v>21</v>
      </c>
      <c r="L33" s="12">
        <v>17</v>
      </c>
      <c r="M33" s="13"/>
      <c r="N33" s="6">
        <v>23</v>
      </c>
      <c r="O33" s="3">
        <v>31</v>
      </c>
      <c r="P33" s="12">
        <v>24</v>
      </c>
      <c r="Q33" s="13"/>
      <c r="R33" s="5">
        <v>33</v>
      </c>
      <c r="S33" s="3">
        <v>40</v>
      </c>
      <c r="T33" s="12">
        <v>30</v>
      </c>
      <c r="U33" s="13"/>
      <c r="V33" s="5">
        <v>56</v>
      </c>
      <c r="W33" s="3">
        <v>62</v>
      </c>
      <c r="X33" s="3">
        <v>51</v>
      </c>
    </row>
    <row r="34" spans="2:53" x14ac:dyDescent="0.25">
      <c r="C34" s="1"/>
      <c r="D34" s="18" t="s">
        <v>12</v>
      </c>
      <c r="E34" s="17"/>
      <c r="F34" s="9">
        <f t="shared" ref="F34:X34" si="3">F33/F30</f>
        <v>3.515625E-2</v>
      </c>
      <c r="G34" s="8">
        <f t="shared" si="3"/>
        <v>6.640625E-2</v>
      </c>
      <c r="H34" s="14">
        <f t="shared" si="3"/>
        <v>4.6875E-2</v>
      </c>
      <c r="I34" s="15"/>
      <c r="J34" s="9">
        <f t="shared" si="3"/>
        <v>7.03125E-2</v>
      </c>
      <c r="K34" s="8">
        <f t="shared" si="3"/>
        <v>8.203125E-2</v>
      </c>
      <c r="L34" s="14">
        <f t="shared" si="3"/>
        <v>6.640625E-2</v>
      </c>
      <c r="M34" s="15"/>
      <c r="N34" s="9">
        <f t="shared" si="3"/>
        <v>8.984375E-2</v>
      </c>
      <c r="O34" s="8">
        <f t="shared" si="3"/>
        <v>0.12109375</v>
      </c>
      <c r="P34" s="14">
        <f t="shared" si="3"/>
        <v>9.375E-2</v>
      </c>
      <c r="Q34" s="15"/>
      <c r="R34" s="9">
        <f t="shared" si="3"/>
        <v>0.12890625</v>
      </c>
      <c r="S34" s="8">
        <f t="shared" si="3"/>
        <v>0.15625</v>
      </c>
      <c r="T34" s="14">
        <f t="shared" si="3"/>
        <v>0.1171875</v>
      </c>
      <c r="U34" s="15"/>
      <c r="V34" s="9">
        <f t="shared" si="3"/>
        <v>0.21875</v>
      </c>
      <c r="W34" s="8">
        <f t="shared" si="3"/>
        <v>0.2421875</v>
      </c>
      <c r="X34" s="8">
        <f t="shared" si="3"/>
        <v>0.19921875</v>
      </c>
    </row>
    <row r="35" spans="2:53" x14ac:dyDescent="0.25"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7"/>
    </row>
    <row r="36" spans="2:53" x14ac:dyDescent="0.25">
      <c r="C36" s="23" t="s">
        <v>5</v>
      </c>
      <c r="D36" s="24"/>
      <c r="E36" s="16"/>
      <c r="F36" s="5">
        <v>0.83</v>
      </c>
      <c r="G36" s="3">
        <v>0.77</v>
      </c>
      <c r="H36" s="12">
        <v>0.71</v>
      </c>
      <c r="I36" s="13"/>
      <c r="J36" s="5">
        <v>0.81</v>
      </c>
      <c r="K36" s="3">
        <v>0.77</v>
      </c>
      <c r="L36" s="12">
        <v>0.7</v>
      </c>
      <c r="M36" s="13"/>
      <c r="N36" s="7">
        <v>0.81</v>
      </c>
      <c r="O36" s="3">
        <v>0.76</v>
      </c>
      <c r="P36" s="12">
        <v>0.69</v>
      </c>
      <c r="Q36" s="13"/>
      <c r="R36" s="5">
        <v>0.8</v>
      </c>
      <c r="S36" s="3">
        <v>0.74</v>
      </c>
      <c r="T36" s="12">
        <v>0.68</v>
      </c>
      <c r="U36" s="13"/>
      <c r="V36" s="5">
        <v>0.76</v>
      </c>
      <c r="W36" s="3">
        <v>0.7</v>
      </c>
      <c r="X36" s="3">
        <v>0.65</v>
      </c>
    </row>
    <row r="37" spans="2:53" x14ac:dyDescent="0.25">
      <c r="C37" s="23" t="s">
        <v>6</v>
      </c>
      <c r="D37" s="24"/>
      <c r="E37" s="16"/>
      <c r="F37" s="5">
        <v>0.96</v>
      </c>
      <c r="G37" s="3">
        <v>0.92</v>
      </c>
      <c r="H37" s="12">
        <v>0.83</v>
      </c>
      <c r="I37" s="13"/>
      <c r="J37" s="5">
        <v>0.93</v>
      </c>
      <c r="K37" s="3">
        <v>0.9</v>
      </c>
      <c r="L37" s="12">
        <v>0.81</v>
      </c>
      <c r="M37" s="13"/>
      <c r="N37" s="7">
        <v>0.91</v>
      </c>
      <c r="O37" s="3">
        <v>0.86</v>
      </c>
      <c r="P37" s="12">
        <v>0.79</v>
      </c>
      <c r="Q37" s="13"/>
      <c r="R37" s="5">
        <v>0.88</v>
      </c>
      <c r="S37" s="3">
        <v>0.83</v>
      </c>
      <c r="T37" s="12">
        <v>0.77</v>
      </c>
      <c r="U37" s="13"/>
      <c r="V37" s="5">
        <v>0.81</v>
      </c>
      <c r="W37" s="3">
        <v>0.76</v>
      </c>
      <c r="X37" s="3">
        <v>0.71</v>
      </c>
    </row>
    <row r="38" spans="2:53" x14ac:dyDescent="0.25">
      <c r="C38" s="23" t="s">
        <v>7</v>
      </c>
      <c r="D38" s="24"/>
      <c r="E38" s="16"/>
      <c r="F38" s="5">
        <v>0.86</v>
      </c>
      <c r="G38" s="3">
        <v>0.81</v>
      </c>
      <c r="H38" s="12">
        <v>0.73</v>
      </c>
      <c r="I38" s="13"/>
      <c r="J38" s="5">
        <v>0.87</v>
      </c>
      <c r="K38" s="3">
        <v>0.82</v>
      </c>
      <c r="L38" s="12">
        <v>0.73</v>
      </c>
      <c r="M38" s="13"/>
      <c r="N38" s="7">
        <v>0.88</v>
      </c>
      <c r="O38" s="3">
        <v>0.84</v>
      </c>
      <c r="P38" s="12">
        <v>0.75</v>
      </c>
      <c r="Q38" s="13"/>
      <c r="R38" s="5">
        <v>0.91</v>
      </c>
      <c r="S38" s="3">
        <v>0.85</v>
      </c>
      <c r="T38" s="12">
        <v>0.75</v>
      </c>
      <c r="U38" s="13"/>
      <c r="V38" s="5">
        <v>0.93</v>
      </c>
      <c r="W38" s="3">
        <v>0.86</v>
      </c>
      <c r="X38" s="3">
        <v>0.77</v>
      </c>
    </row>
    <row r="39" spans="2:53" x14ac:dyDescent="0.25">
      <c r="C39" s="23" t="s">
        <v>8</v>
      </c>
      <c r="D39" s="24"/>
      <c r="E39" s="16"/>
      <c r="F39" s="5">
        <v>0.9</v>
      </c>
      <c r="G39" s="3">
        <v>0.86</v>
      </c>
      <c r="H39" s="12">
        <v>0.77</v>
      </c>
      <c r="I39" s="13"/>
      <c r="J39" s="5">
        <v>0.9</v>
      </c>
      <c r="K39" s="3">
        <v>0.86</v>
      </c>
      <c r="L39" s="12">
        <v>0.77</v>
      </c>
      <c r="M39" s="13"/>
      <c r="N39" s="7">
        <v>0.89</v>
      </c>
      <c r="O39" s="3">
        <v>0.85</v>
      </c>
      <c r="P39" s="12">
        <v>0.77</v>
      </c>
      <c r="Q39" s="13"/>
      <c r="R39" s="5">
        <v>0.89</v>
      </c>
      <c r="S39" s="3">
        <v>0.84</v>
      </c>
      <c r="T39" s="12">
        <v>0.76</v>
      </c>
      <c r="U39" s="13"/>
      <c r="V39" s="5">
        <v>0.87</v>
      </c>
      <c r="W39" s="3">
        <v>0.8</v>
      </c>
      <c r="X39" s="3">
        <v>0.74</v>
      </c>
    </row>
    <row r="40" spans="2:53" x14ac:dyDescent="0.25"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7"/>
    </row>
    <row r="41" spans="2:53" x14ac:dyDescent="0.25">
      <c r="C41" s="23" t="s">
        <v>15</v>
      </c>
      <c r="D41" s="24"/>
      <c r="E41" s="16"/>
      <c r="F41" s="5">
        <v>0.79</v>
      </c>
      <c r="G41" s="3">
        <v>0.79</v>
      </c>
      <c r="H41" s="12">
        <v>0.69</v>
      </c>
      <c r="I41" s="13"/>
      <c r="J41" s="5">
        <v>0.79</v>
      </c>
      <c r="K41" s="3">
        <v>0.78</v>
      </c>
      <c r="L41" s="12">
        <v>0.69</v>
      </c>
      <c r="M41" s="13"/>
      <c r="N41" s="7">
        <v>0.78</v>
      </c>
      <c r="O41" s="3">
        <v>0.77</v>
      </c>
      <c r="P41" s="12">
        <v>0.68</v>
      </c>
      <c r="Q41" s="13"/>
      <c r="R41" s="5">
        <v>0.78</v>
      </c>
      <c r="S41" s="3">
        <v>0.77</v>
      </c>
      <c r="T41" s="12">
        <v>0.67</v>
      </c>
      <c r="U41" s="13"/>
      <c r="V41" s="5">
        <v>0.74</v>
      </c>
      <c r="W41" s="3">
        <v>0.73</v>
      </c>
      <c r="X41" s="3">
        <v>0.65</v>
      </c>
    </row>
    <row r="46" spans="2:53" x14ac:dyDescent="0.25">
      <c r="B46" t="s">
        <v>22</v>
      </c>
      <c r="C46" s="20"/>
      <c r="D46" s="20"/>
      <c r="AT46" t="s">
        <v>17</v>
      </c>
      <c r="BA46" t="s">
        <v>18</v>
      </c>
    </row>
    <row r="48" spans="2:53" x14ac:dyDescent="0.25">
      <c r="C48" s="28" t="s">
        <v>10</v>
      </c>
      <c r="D48" s="29"/>
      <c r="E48" s="30">
        <v>0.25</v>
      </c>
      <c r="F48" s="31"/>
      <c r="G48" s="31"/>
      <c r="H48" s="31"/>
      <c r="I48" s="31">
        <v>0.2</v>
      </c>
      <c r="J48" s="31"/>
      <c r="K48" s="31"/>
      <c r="L48" s="31"/>
      <c r="M48" s="31">
        <v>0.15</v>
      </c>
      <c r="N48" s="31"/>
      <c r="O48" s="31"/>
      <c r="P48" s="31"/>
      <c r="Q48" s="31">
        <v>0.1</v>
      </c>
      <c r="R48" s="31"/>
      <c r="S48" s="31"/>
      <c r="T48" s="31"/>
      <c r="U48" s="31">
        <v>0.05</v>
      </c>
      <c r="V48" s="31"/>
      <c r="W48" s="31"/>
      <c r="X48" s="32"/>
    </row>
    <row r="49" spans="3:24" x14ac:dyDescent="0.25">
      <c r="C49" s="28" t="s">
        <v>9</v>
      </c>
      <c r="D49" s="29"/>
      <c r="E49" s="19"/>
      <c r="F49" s="4" t="s">
        <v>0</v>
      </c>
      <c r="G49" s="4" t="s">
        <v>1</v>
      </c>
      <c r="H49" s="10" t="s">
        <v>2</v>
      </c>
      <c r="I49" s="11"/>
      <c r="J49" s="4" t="s">
        <v>0</v>
      </c>
      <c r="K49" s="4" t="s">
        <v>1</v>
      </c>
      <c r="L49" s="10" t="s">
        <v>2</v>
      </c>
      <c r="M49" s="11"/>
      <c r="N49" s="4" t="s">
        <v>0</v>
      </c>
      <c r="O49" s="4" t="s">
        <v>1</v>
      </c>
      <c r="P49" s="10" t="s">
        <v>2</v>
      </c>
      <c r="Q49" s="11"/>
      <c r="R49" s="4" t="s">
        <v>0</v>
      </c>
      <c r="S49" s="4" t="s">
        <v>1</v>
      </c>
      <c r="T49" s="10" t="s">
        <v>2</v>
      </c>
      <c r="U49" s="11"/>
      <c r="V49" s="4" t="s">
        <v>0</v>
      </c>
      <c r="W49" s="4" t="s">
        <v>1</v>
      </c>
      <c r="X49" s="4" t="s">
        <v>2</v>
      </c>
    </row>
    <row r="50" spans="3:24" x14ac:dyDescent="0.25">
      <c r="C50" s="23" t="s">
        <v>13</v>
      </c>
      <c r="D50" s="24"/>
      <c r="E50" s="16"/>
      <c r="F50" s="5">
        <v>256</v>
      </c>
      <c r="G50" s="3">
        <v>256</v>
      </c>
      <c r="H50" s="12">
        <v>256</v>
      </c>
      <c r="I50" s="13"/>
      <c r="J50" s="5">
        <v>256</v>
      </c>
      <c r="K50" s="3">
        <v>256</v>
      </c>
      <c r="L50" s="12">
        <v>256</v>
      </c>
      <c r="M50" s="13"/>
      <c r="N50" s="5">
        <v>256</v>
      </c>
      <c r="O50" s="3">
        <v>256</v>
      </c>
      <c r="P50" s="12">
        <v>256</v>
      </c>
      <c r="Q50" s="13"/>
      <c r="R50" s="5">
        <v>256</v>
      </c>
      <c r="S50" s="3">
        <v>256</v>
      </c>
      <c r="T50" s="12">
        <v>256</v>
      </c>
      <c r="U50" s="13"/>
      <c r="V50" s="5">
        <v>256</v>
      </c>
      <c r="W50" s="3">
        <v>256</v>
      </c>
      <c r="X50" s="3">
        <v>256</v>
      </c>
    </row>
    <row r="51" spans="3:24" x14ac:dyDescent="0.25">
      <c r="C51" s="23" t="s">
        <v>3</v>
      </c>
      <c r="D51" s="24"/>
      <c r="E51" s="16"/>
      <c r="F51" s="5">
        <v>28</v>
      </c>
      <c r="G51" s="3">
        <v>47</v>
      </c>
      <c r="H51" s="12">
        <v>74</v>
      </c>
      <c r="I51" s="13"/>
      <c r="J51" s="5">
        <v>23</v>
      </c>
      <c r="K51" s="3">
        <v>42</v>
      </c>
      <c r="L51" s="12">
        <v>68</v>
      </c>
      <c r="M51" s="13"/>
      <c r="N51" s="6">
        <v>19</v>
      </c>
      <c r="O51" s="3">
        <v>40</v>
      </c>
      <c r="P51" s="12">
        <v>61</v>
      </c>
      <c r="Q51" s="13"/>
      <c r="R51" s="5">
        <v>18</v>
      </c>
      <c r="S51" s="3">
        <v>34</v>
      </c>
      <c r="T51" s="12">
        <v>52</v>
      </c>
      <c r="U51" s="13"/>
      <c r="V51" s="5">
        <v>15</v>
      </c>
      <c r="W51" s="3">
        <v>26</v>
      </c>
      <c r="X51" s="3">
        <v>45</v>
      </c>
    </row>
    <row r="52" spans="3:24" x14ac:dyDescent="0.25">
      <c r="C52" s="2"/>
      <c r="D52" s="18" t="s">
        <v>11</v>
      </c>
      <c r="E52" s="17"/>
      <c r="F52" s="9">
        <f t="shared" ref="F52:X52" si="4">F51/F50</f>
        <v>0.109375</v>
      </c>
      <c r="G52" s="8">
        <f t="shared" si="4"/>
        <v>0.18359375</v>
      </c>
      <c r="H52" s="14">
        <f t="shared" si="4"/>
        <v>0.2890625</v>
      </c>
      <c r="I52" s="15"/>
      <c r="J52" s="9">
        <f t="shared" si="4"/>
        <v>8.984375E-2</v>
      </c>
      <c r="K52" s="8">
        <f t="shared" si="4"/>
        <v>0.1640625</v>
      </c>
      <c r="L52" s="14">
        <f t="shared" si="4"/>
        <v>0.265625</v>
      </c>
      <c r="M52" s="15"/>
      <c r="N52" s="9">
        <f t="shared" si="4"/>
        <v>7.421875E-2</v>
      </c>
      <c r="O52" s="8">
        <f t="shared" si="4"/>
        <v>0.15625</v>
      </c>
      <c r="P52" s="14">
        <f t="shared" si="4"/>
        <v>0.23828125</v>
      </c>
      <c r="Q52" s="15"/>
      <c r="R52" s="9">
        <f t="shared" si="4"/>
        <v>7.03125E-2</v>
      </c>
      <c r="S52" s="8">
        <f t="shared" si="4"/>
        <v>0.1328125</v>
      </c>
      <c r="T52" s="14">
        <f t="shared" si="4"/>
        <v>0.203125</v>
      </c>
      <c r="U52" s="15"/>
      <c r="V52" s="9">
        <f t="shared" si="4"/>
        <v>5.859375E-2</v>
      </c>
      <c r="W52" s="8">
        <f t="shared" si="4"/>
        <v>0.1015625</v>
      </c>
      <c r="X52" s="8">
        <f t="shared" si="4"/>
        <v>0.17578125</v>
      </c>
    </row>
    <row r="53" spans="3:24" x14ac:dyDescent="0.25">
      <c r="C53" s="23" t="s">
        <v>4</v>
      </c>
      <c r="D53" s="24"/>
      <c r="E53" s="16"/>
      <c r="F53" s="5">
        <v>15</v>
      </c>
      <c r="G53" s="3">
        <v>14</v>
      </c>
      <c r="H53" s="12">
        <v>29</v>
      </c>
      <c r="I53" s="13"/>
      <c r="J53" s="5">
        <v>21</v>
      </c>
      <c r="K53" s="3">
        <v>17</v>
      </c>
      <c r="L53" s="12">
        <v>37</v>
      </c>
      <c r="M53" s="13"/>
      <c r="N53" s="6">
        <v>32</v>
      </c>
      <c r="O53" s="3">
        <v>27</v>
      </c>
      <c r="P53" s="12">
        <v>51</v>
      </c>
      <c r="Q53" s="13"/>
      <c r="R53" s="5">
        <v>46</v>
      </c>
      <c r="S53" s="3">
        <v>35</v>
      </c>
      <c r="T53" s="12">
        <v>76</v>
      </c>
      <c r="U53" s="13"/>
      <c r="V53" s="5">
        <v>71</v>
      </c>
      <c r="W53" s="3">
        <v>62</v>
      </c>
      <c r="X53" s="3">
        <v>125</v>
      </c>
    </row>
    <row r="54" spans="3:24" x14ac:dyDescent="0.25">
      <c r="C54" s="1"/>
      <c r="D54" s="18" t="s">
        <v>12</v>
      </c>
      <c r="E54" s="17"/>
      <c r="F54" s="9">
        <f t="shared" ref="F54:X54" si="5">F53/F50</f>
        <v>5.859375E-2</v>
      </c>
      <c r="G54" s="8">
        <f t="shared" si="5"/>
        <v>5.46875E-2</v>
      </c>
      <c r="H54" s="14">
        <f t="shared" si="5"/>
        <v>0.11328125</v>
      </c>
      <c r="I54" s="15"/>
      <c r="J54" s="9">
        <f t="shared" si="5"/>
        <v>8.203125E-2</v>
      </c>
      <c r="K54" s="8">
        <f t="shared" si="5"/>
        <v>6.640625E-2</v>
      </c>
      <c r="L54" s="14">
        <f t="shared" si="5"/>
        <v>0.14453125</v>
      </c>
      <c r="M54" s="15"/>
      <c r="N54" s="9">
        <f t="shared" si="5"/>
        <v>0.125</v>
      </c>
      <c r="O54" s="8">
        <f t="shared" si="5"/>
        <v>0.10546875</v>
      </c>
      <c r="P54" s="14">
        <f t="shared" si="5"/>
        <v>0.19921875</v>
      </c>
      <c r="Q54" s="15"/>
      <c r="R54" s="9">
        <f t="shared" si="5"/>
        <v>0.1796875</v>
      </c>
      <c r="S54" s="8">
        <f t="shared" si="5"/>
        <v>0.13671875</v>
      </c>
      <c r="T54" s="14">
        <f t="shared" si="5"/>
        <v>0.296875</v>
      </c>
      <c r="U54" s="15"/>
      <c r="V54" s="9">
        <f t="shared" si="5"/>
        <v>0.27734375</v>
      </c>
      <c r="W54" s="8">
        <f t="shared" si="5"/>
        <v>0.2421875</v>
      </c>
      <c r="X54" s="8">
        <f t="shared" si="5"/>
        <v>0.48828125</v>
      </c>
    </row>
    <row r="55" spans="3:24" x14ac:dyDescent="0.25"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7"/>
    </row>
    <row r="56" spans="3:24" x14ac:dyDescent="0.25">
      <c r="C56" s="23" t="s">
        <v>5</v>
      </c>
      <c r="D56" s="24"/>
      <c r="E56" s="16"/>
      <c r="F56" s="5">
        <v>0.84</v>
      </c>
      <c r="G56" s="3">
        <v>0.77</v>
      </c>
      <c r="H56" s="12">
        <v>0.64</v>
      </c>
      <c r="I56" s="13"/>
      <c r="J56" s="5">
        <v>0.84</v>
      </c>
      <c r="K56" s="3">
        <v>0.78</v>
      </c>
      <c r="L56" s="12">
        <v>0.64</v>
      </c>
      <c r="M56" s="13"/>
      <c r="N56" s="7">
        <v>0.82</v>
      </c>
      <c r="O56" s="3">
        <v>0.76</v>
      </c>
      <c r="P56" s="12">
        <v>0.64</v>
      </c>
      <c r="Q56" s="13"/>
      <c r="R56" s="5">
        <v>0.79</v>
      </c>
      <c r="S56" s="3">
        <v>0.76</v>
      </c>
      <c r="T56" s="12">
        <v>0.61</v>
      </c>
      <c r="U56" s="13"/>
      <c r="V56" s="5">
        <v>0.74</v>
      </c>
      <c r="W56" s="3">
        <v>0.72</v>
      </c>
      <c r="X56" s="3">
        <v>0.55000000000000004</v>
      </c>
    </row>
    <row r="57" spans="3:24" x14ac:dyDescent="0.25">
      <c r="C57" s="23" t="s">
        <v>6</v>
      </c>
      <c r="D57" s="24"/>
      <c r="E57" s="16"/>
      <c r="F57" s="5">
        <v>0.94</v>
      </c>
      <c r="G57" s="3">
        <v>0.91</v>
      </c>
      <c r="H57" s="12">
        <v>0.75</v>
      </c>
      <c r="I57" s="13"/>
      <c r="J57" s="5">
        <v>0.92</v>
      </c>
      <c r="K57" s="3">
        <v>0.91</v>
      </c>
      <c r="L57" s="12">
        <v>0.74</v>
      </c>
      <c r="M57" s="13"/>
      <c r="N57" s="7">
        <v>0.88</v>
      </c>
      <c r="O57" s="3">
        <v>0.87</v>
      </c>
      <c r="P57" s="12">
        <v>0.71</v>
      </c>
      <c r="Q57" s="13"/>
      <c r="R57" s="5">
        <v>0.84</v>
      </c>
      <c r="S57" s="3">
        <v>0.84</v>
      </c>
      <c r="T57" s="12">
        <v>0.65</v>
      </c>
      <c r="U57" s="13"/>
      <c r="V57" s="5">
        <v>0.77</v>
      </c>
      <c r="W57" s="3">
        <v>0.77</v>
      </c>
      <c r="X57" s="3">
        <v>0.56999999999999995</v>
      </c>
    </row>
    <row r="58" spans="3:24" x14ac:dyDescent="0.25">
      <c r="C58" s="23" t="s">
        <v>7</v>
      </c>
      <c r="D58" s="24"/>
      <c r="E58" s="16"/>
      <c r="F58" s="5">
        <v>0.89</v>
      </c>
      <c r="G58" s="3">
        <v>0.81</v>
      </c>
      <c r="H58" s="12">
        <v>0.7</v>
      </c>
      <c r="I58" s="13"/>
      <c r="J58" s="5">
        <v>0.91</v>
      </c>
      <c r="K58" s="3">
        <v>0.83</v>
      </c>
      <c r="L58" s="12">
        <v>0.73</v>
      </c>
      <c r="M58" s="13"/>
      <c r="N58" s="7">
        <v>0.93</v>
      </c>
      <c r="O58" s="3">
        <v>0.84</v>
      </c>
      <c r="P58" s="12">
        <v>0.75</v>
      </c>
      <c r="Q58" s="13"/>
      <c r="R58" s="5">
        <v>0.93</v>
      </c>
      <c r="S58" s="3">
        <v>0.86</v>
      </c>
      <c r="T58" s="12">
        <v>0.79</v>
      </c>
      <c r="U58" s="13"/>
      <c r="V58" s="5">
        <v>0.94</v>
      </c>
      <c r="W58" s="3">
        <v>0.89</v>
      </c>
      <c r="X58" s="3">
        <v>0.82</v>
      </c>
    </row>
    <row r="59" spans="3:24" x14ac:dyDescent="0.25">
      <c r="C59" s="23" t="s">
        <v>8</v>
      </c>
      <c r="D59" s="24"/>
      <c r="E59" s="16"/>
      <c r="F59" s="5">
        <v>0.91</v>
      </c>
      <c r="G59" s="3">
        <v>0.86</v>
      </c>
      <c r="H59" s="12">
        <v>0.73</v>
      </c>
      <c r="I59" s="13"/>
      <c r="J59" s="5">
        <v>0.91</v>
      </c>
      <c r="K59" s="3">
        <v>0.87</v>
      </c>
      <c r="L59" s="12">
        <v>0.73</v>
      </c>
      <c r="M59" s="13"/>
      <c r="N59" s="7">
        <v>0.9</v>
      </c>
      <c r="O59" s="3">
        <v>0.85</v>
      </c>
      <c r="P59" s="12">
        <v>0.73</v>
      </c>
      <c r="Q59" s="13"/>
      <c r="R59" s="5">
        <v>0.88</v>
      </c>
      <c r="S59" s="3">
        <v>0.85</v>
      </c>
      <c r="T59" s="12">
        <v>0.71</v>
      </c>
      <c r="U59" s="13"/>
      <c r="V59" s="5">
        <v>0.85</v>
      </c>
      <c r="W59" s="3">
        <v>0.82</v>
      </c>
      <c r="X59" s="3">
        <v>0.67</v>
      </c>
    </row>
    <row r="60" spans="3:24" x14ac:dyDescent="0.25"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7"/>
    </row>
    <row r="61" spans="3:24" x14ac:dyDescent="0.25">
      <c r="C61" s="23" t="s">
        <v>15</v>
      </c>
      <c r="D61" s="24"/>
      <c r="E61" s="16"/>
      <c r="F61" s="5">
        <v>0.79</v>
      </c>
      <c r="G61" s="3">
        <v>0.75</v>
      </c>
      <c r="H61" s="12">
        <v>0.69</v>
      </c>
      <c r="I61" s="13"/>
      <c r="J61" s="5">
        <v>0.78</v>
      </c>
      <c r="K61" s="3">
        <v>0.75</v>
      </c>
      <c r="L61" s="12">
        <v>0.68</v>
      </c>
      <c r="M61" s="13"/>
      <c r="N61" s="7">
        <v>0.78</v>
      </c>
      <c r="O61" s="3">
        <v>0.74</v>
      </c>
      <c r="P61" s="12">
        <v>0.67</v>
      </c>
      <c r="Q61" s="13"/>
      <c r="R61" s="5">
        <v>0.77</v>
      </c>
      <c r="S61" s="3">
        <v>0.73</v>
      </c>
      <c r="T61" s="12">
        <v>0.66</v>
      </c>
      <c r="U61" s="13"/>
      <c r="V61" s="5">
        <v>0.71</v>
      </c>
      <c r="W61" s="3">
        <v>0.71</v>
      </c>
      <c r="X61" s="3">
        <v>0.57999999999999996</v>
      </c>
    </row>
    <row r="66" spans="2:24" x14ac:dyDescent="0.25">
      <c r="B66" t="s">
        <v>22</v>
      </c>
      <c r="C66" s="20"/>
      <c r="D66" s="20"/>
    </row>
    <row r="67" spans="2:24" x14ac:dyDescent="0.25">
      <c r="B67" s="20" t="s">
        <v>14</v>
      </c>
    </row>
    <row r="68" spans="2:24" x14ac:dyDescent="0.25">
      <c r="C68" s="28" t="s">
        <v>10</v>
      </c>
      <c r="D68" s="29"/>
      <c r="E68" s="30">
        <v>0.25</v>
      </c>
      <c r="F68" s="31"/>
      <c r="G68" s="31"/>
      <c r="H68" s="31"/>
      <c r="I68" s="31">
        <v>0.2</v>
      </c>
      <c r="J68" s="31"/>
      <c r="K68" s="31"/>
      <c r="L68" s="31"/>
      <c r="M68" s="31">
        <v>0.15</v>
      </c>
      <c r="N68" s="31"/>
      <c r="O68" s="31"/>
      <c r="P68" s="31"/>
      <c r="Q68" s="31">
        <v>0.1</v>
      </c>
      <c r="R68" s="31"/>
      <c r="S68" s="31"/>
      <c r="T68" s="31"/>
      <c r="U68" s="31">
        <v>0.05</v>
      </c>
      <c r="V68" s="31"/>
      <c r="W68" s="31"/>
      <c r="X68" s="32"/>
    </row>
    <row r="69" spans="2:24" x14ac:dyDescent="0.25">
      <c r="C69" s="28" t="s">
        <v>9</v>
      </c>
      <c r="D69" s="29"/>
      <c r="E69" s="19"/>
      <c r="F69" s="4" t="s">
        <v>0</v>
      </c>
      <c r="G69" s="4" t="s">
        <v>1</v>
      </c>
      <c r="H69" s="10" t="s">
        <v>2</v>
      </c>
      <c r="I69" s="11"/>
      <c r="J69" s="4" t="s">
        <v>0</v>
      </c>
      <c r="K69" s="4" t="s">
        <v>1</v>
      </c>
      <c r="L69" s="10" t="s">
        <v>2</v>
      </c>
      <c r="M69" s="11"/>
      <c r="N69" s="4" t="s">
        <v>0</v>
      </c>
      <c r="O69" s="4" t="s">
        <v>1</v>
      </c>
      <c r="P69" s="10" t="s">
        <v>2</v>
      </c>
      <c r="Q69" s="11"/>
      <c r="R69" s="4" t="s">
        <v>0</v>
      </c>
      <c r="S69" s="4" t="s">
        <v>1</v>
      </c>
      <c r="T69" s="10" t="s">
        <v>2</v>
      </c>
      <c r="U69" s="11"/>
      <c r="V69" s="4" t="s">
        <v>0</v>
      </c>
      <c r="W69" s="4" t="s">
        <v>1</v>
      </c>
      <c r="X69" s="4" t="s">
        <v>2</v>
      </c>
    </row>
    <row r="70" spans="2:24" x14ac:dyDescent="0.25">
      <c r="C70" s="23" t="s">
        <v>13</v>
      </c>
      <c r="D70" s="24"/>
      <c r="E70" s="16"/>
      <c r="F70" s="5">
        <v>256</v>
      </c>
      <c r="G70" s="3">
        <v>256</v>
      </c>
      <c r="H70" s="12">
        <v>256</v>
      </c>
      <c r="I70" s="13"/>
      <c r="J70" s="5">
        <v>256</v>
      </c>
      <c r="K70" s="3">
        <v>256</v>
      </c>
      <c r="L70" s="12">
        <v>256</v>
      </c>
      <c r="M70" s="13"/>
      <c r="N70" s="5">
        <v>256</v>
      </c>
      <c r="O70" s="3">
        <v>256</v>
      </c>
      <c r="P70" s="12">
        <v>256</v>
      </c>
      <c r="Q70" s="13"/>
      <c r="R70" s="5">
        <v>256</v>
      </c>
      <c r="S70" s="3">
        <v>256</v>
      </c>
      <c r="T70" s="12">
        <v>256</v>
      </c>
      <c r="U70" s="13"/>
      <c r="V70" s="5">
        <v>256</v>
      </c>
      <c r="W70" s="3">
        <v>256</v>
      </c>
      <c r="X70" s="3">
        <v>256</v>
      </c>
    </row>
    <row r="71" spans="2:24" x14ac:dyDescent="0.25">
      <c r="C71" s="23" t="s">
        <v>3</v>
      </c>
      <c r="D71" s="24"/>
      <c r="E71" s="16"/>
      <c r="F71" s="5">
        <v>42</v>
      </c>
      <c r="G71" s="3">
        <v>52</v>
      </c>
      <c r="H71" s="12">
        <v>63</v>
      </c>
      <c r="I71" s="13"/>
      <c r="J71" s="5">
        <v>41</v>
      </c>
      <c r="K71" s="3">
        <v>47</v>
      </c>
      <c r="L71" s="12">
        <v>63</v>
      </c>
      <c r="M71" s="13"/>
      <c r="N71" s="6">
        <v>38</v>
      </c>
      <c r="O71" s="3">
        <v>42</v>
      </c>
      <c r="P71" s="12">
        <v>62</v>
      </c>
      <c r="Q71" s="13"/>
      <c r="R71" s="5">
        <v>32</v>
      </c>
      <c r="S71" s="3">
        <v>35</v>
      </c>
      <c r="T71" s="12">
        <v>55</v>
      </c>
      <c r="U71" s="13"/>
      <c r="V71" s="5">
        <v>23</v>
      </c>
      <c r="W71" s="3">
        <v>28</v>
      </c>
      <c r="X71" s="3">
        <v>52</v>
      </c>
    </row>
    <row r="72" spans="2:24" x14ac:dyDescent="0.25">
      <c r="C72" s="2"/>
      <c r="D72" s="18" t="s">
        <v>11</v>
      </c>
      <c r="E72" s="17"/>
      <c r="F72" s="9">
        <f t="shared" ref="F72:X72" si="6">F71/F70</f>
        <v>0.1640625</v>
      </c>
      <c r="G72" s="8">
        <f t="shared" si="6"/>
        <v>0.203125</v>
      </c>
      <c r="H72" s="14">
        <f t="shared" si="6"/>
        <v>0.24609375</v>
      </c>
      <c r="I72" s="15"/>
      <c r="J72" s="9">
        <f t="shared" si="6"/>
        <v>0.16015625</v>
      </c>
      <c r="K72" s="8">
        <f t="shared" si="6"/>
        <v>0.18359375</v>
      </c>
      <c r="L72" s="14">
        <f t="shared" si="6"/>
        <v>0.24609375</v>
      </c>
      <c r="M72" s="15"/>
      <c r="N72" s="9">
        <f t="shared" si="6"/>
        <v>0.1484375</v>
      </c>
      <c r="O72" s="8">
        <f t="shared" si="6"/>
        <v>0.1640625</v>
      </c>
      <c r="P72" s="14">
        <f t="shared" si="6"/>
        <v>0.2421875</v>
      </c>
      <c r="Q72" s="15"/>
      <c r="R72" s="9">
        <f t="shared" si="6"/>
        <v>0.125</v>
      </c>
      <c r="S72" s="8">
        <f t="shared" si="6"/>
        <v>0.13671875</v>
      </c>
      <c r="T72" s="14">
        <f t="shared" si="6"/>
        <v>0.21484375</v>
      </c>
      <c r="U72" s="15"/>
      <c r="V72" s="9">
        <f t="shared" si="6"/>
        <v>8.984375E-2</v>
      </c>
      <c r="W72" s="8">
        <f t="shared" si="6"/>
        <v>0.109375</v>
      </c>
      <c r="X72" s="8">
        <f t="shared" si="6"/>
        <v>0.203125</v>
      </c>
    </row>
    <row r="73" spans="2:24" x14ac:dyDescent="0.25">
      <c r="C73" s="23" t="s">
        <v>4</v>
      </c>
      <c r="D73" s="24"/>
      <c r="E73" s="16"/>
      <c r="F73" s="5">
        <v>8</v>
      </c>
      <c r="G73" s="3">
        <v>11</v>
      </c>
      <c r="H73" s="12">
        <v>16</v>
      </c>
      <c r="I73" s="13"/>
      <c r="J73" s="5">
        <v>8</v>
      </c>
      <c r="K73" s="3">
        <v>19</v>
      </c>
      <c r="L73" s="12">
        <v>19</v>
      </c>
      <c r="M73" s="13"/>
      <c r="N73" s="6">
        <v>14</v>
      </c>
      <c r="O73" s="3">
        <v>24</v>
      </c>
      <c r="P73" s="12">
        <v>25</v>
      </c>
      <c r="Q73" s="13"/>
      <c r="R73" s="5">
        <v>23</v>
      </c>
      <c r="S73" s="3">
        <v>38</v>
      </c>
      <c r="T73" s="12">
        <v>42</v>
      </c>
      <c r="U73" s="13"/>
      <c r="V73" s="5">
        <v>42</v>
      </c>
      <c r="W73" s="3">
        <v>63</v>
      </c>
      <c r="X73" s="3">
        <v>65</v>
      </c>
    </row>
    <row r="74" spans="2:24" x14ac:dyDescent="0.25">
      <c r="C74" s="1"/>
      <c r="D74" s="18" t="s">
        <v>12</v>
      </c>
      <c r="E74" s="17"/>
      <c r="F74" s="9">
        <f t="shared" ref="F74:X74" si="7">F73/F70</f>
        <v>3.125E-2</v>
      </c>
      <c r="G74" s="8">
        <f t="shared" si="7"/>
        <v>4.296875E-2</v>
      </c>
      <c r="H74" s="14">
        <f t="shared" si="7"/>
        <v>6.25E-2</v>
      </c>
      <c r="I74" s="15"/>
      <c r="J74" s="9">
        <f t="shared" si="7"/>
        <v>3.125E-2</v>
      </c>
      <c r="K74" s="8">
        <f t="shared" si="7"/>
        <v>7.421875E-2</v>
      </c>
      <c r="L74" s="14">
        <f t="shared" si="7"/>
        <v>7.421875E-2</v>
      </c>
      <c r="M74" s="15"/>
      <c r="N74" s="9">
        <f t="shared" si="7"/>
        <v>5.46875E-2</v>
      </c>
      <c r="O74" s="8">
        <f t="shared" si="7"/>
        <v>9.375E-2</v>
      </c>
      <c r="P74" s="14">
        <f t="shared" si="7"/>
        <v>9.765625E-2</v>
      </c>
      <c r="Q74" s="15"/>
      <c r="R74" s="9">
        <f t="shared" si="7"/>
        <v>8.984375E-2</v>
      </c>
      <c r="S74" s="8">
        <f t="shared" si="7"/>
        <v>0.1484375</v>
      </c>
      <c r="T74" s="14">
        <f t="shared" si="7"/>
        <v>0.1640625</v>
      </c>
      <c r="U74" s="15"/>
      <c r="V74" s="9">
        <f t="shared" si="7"/>
        <v>0.1640625</v>
      </c>
      <c r="W74" s="8">
        <f t="shared" si="7"/>
        <v>0.24609375</v>
      </c>
      <c r="X74" s="8">
        <f t="shared" si="7"/>
        <v>0.25390625</v>
      </c>
    </row>
    <row r="75" spans="2:24" x14ac:dyDescent="0.25"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7"/>
    </row>
    <row r="76" spans="2:24" x14ac:dyDescent="0.25">
      <c r="C76" s="23" t="s">
        <v>5</v>
      </c>
      <c r="D76" s="24"/>
      <c r="E76" s="16"/>
      <c r="F76" s="5">
        <v>0.81</v>
      </c>
      <c r="G76" s="3">
        <v>0.76</v>
      </c>
      <c r="H76" s="12">
        <v>0.71</v>
      </c>
      <c r="I76" s="13"/>
      <c r="J76" s="5">
        <v>0.81</v>
      </c>
      <c r="K76" s="3">
        <v>0.76</v>
      </c>
      <c r="L76" s="12">
        <v>0.7</v>
      </c>
      <c r="M76" s="13"/>
      <c r="N76" s="7">
        <v>0.81</v>
      </c>
      <c r="O76" s="3">
        <v>0.76</v>
      </c>
      <c r="P76" s="12">
        <v>0.69</v>
      </c>
      <c r="Q76" s="13"/>
      <c r="R76" s="5">
        <v>0.8</v>
      </c>
      <c r="S76" s="3">
        <v>0.75</v>
      </c>
      <c r="T76" s="12">
        <v>0.67</v>
      </c>
      <c r="U76" s="13"/>
      <c r="V76" s="5">
        <v>0.78</v>
      </c>
      <c r="W76" s="3">
        <v>0.72</v>
      </c>
      <c r="X76" s="3">
        <v>0.64</v>
      </c>
    </row>
    <row r="77" spans="2:24" x14ac:dyDescent="0.25">
      <c r="C77" s="23" t="s">
        <v>6</v>
      </c>
      <c r="D77" s="24"/>
      <c r="E77" s="16"/>
      <c r="F77" s="5">
        <v>0.96</v>
      </c>
      <c r="G77" s="3">
        <v>0.93</v>
      </c>
      <c r="H77" s="12">
        <v>0.82</v>
      </c>
      <c r="I77" s="13"/>
      <c r="J77" s="5">
        <v>0.96</v>
      </c>
      <c r="K77" s="3">
        <v>0.89</v>
      </c>
      <c r="L77" s="12">
        <v>0.81</v>
      </c>
      <c r="M77" s="13"/>
      <c r="N77" s="7">
        <v>0.94</v>
      </c>
      <c r="O77" s="3">
        <v>0.88</v>
      </c>
      <c r="P77" s="12">
        <v>0.79</v>
      </c>
      <c r="Q77" s="13"/>
      <c r="R77" s="5">
        <v>0.91</v>
      </c>
      <c r="S77" s="3">
        <v>0.83</v>
      </c>
      <c r="T77" s="12">
        <v>0.74</v>
      </c>
      <c r="U77" s="13"/>
      <c r="V77" s="5">
        <v>0.85</v>
      </c>
      <c r="W77" s="3">
        <v>0.76</v>
      </c>
      <c r="X77" s="3">
        <v>0.68</v>
      </c>
    </row>
    <row r="78" spans="2:24" x14ac:dyDescent="0.25">
      <c r="C78" s="23" t="s">
        <v>7</v>
      </c>
      <c r="D78" s="24"/>
      <c r="E78" s="16"/>
      <c r="F78" s="5">
        <v>0.84</v>
      </c>
      <c r="G78" s="3">
        <v>0.79</v>
      </c>
      <c r="H78" s="12">
        <v>0.74</v>
      </c>
      <c r="I78" s="13"/>
      <c r="J78" s="5">
        <v>0.84</v>
      </c>
      <c r="K78" s="3">
        <v>0.81</v>
      </c>
      <c r="L78" s="12">
        <v>0.74</v>
      </c>
      <c r="M78" s="13"/>
      <c r="N78" s="7">
        <v>0.85</v>
      </c>
      <c r="O78" s="3">
        <v>0.83</v>
      </c>
      <c r="P78" s="12">
        <v>0.74</v>
      </c>
      <c r="Q78" s="13"/>
      <c r="R78" s="5">
        <v>0.88</v>
      </c>
      <c r="S78" s="3">
        <v>0.86</v>
      </c>
      <c r="T78" s="12">
        <v>0.77</v>
      </c>
      <c r="U78" s="13"/>
      <c r="V78" s="5">
        <v>0.91</v>
      </c>
      <c r="W78" s="3">
        <v>0.88</v>
      </c>
      <c r="X78" s="3">
        <v>0.79</v>
      </c>
    </row>
    <row r="79" spans="2:24" x14ac:dyDescent="0.25">
      <c r="C79" s="23" t="s">
        <v>8</v>
      </c>
      <c r="D79" s="24"/>
      <c r="E79" s="16"/>
      <c r="F79" s="5">
        <v>0.9</v>
      </c>
      <c r="G79" s="3">
        <v>0.85</v>
      </c>
      <c r="H79" s="12">
        <v>0.78</v>
      </c>
      <c r="I79" s="13"/>
      <c r="J79" s="5">
        <v>0.9</v>
      </c>
      <c r="K79" s="3">
        <v>0.85</v>
      </c>
      <c r="L79" s="12">
        <v>0.77</v>
      </c>
      <c r="M79" s="13"/>
      <c r="N79" s="7">
        <v>0.89</v>
      </c>
      <c r="O79" s="3">
        <v>0.85</v>
      </c>
      <c r="P79" s="12">
        <v>0.76</v>
      </c>
      <c r="Q79" s="13"/>
      <c r="R79" s="5">
        <v>0.89</v>
      </c>
      <c r="S79" s="3">
        <v>0.84</v>
      </c>
      <c r="T79" s="12">
        <v>0.75</v>
      </c>
      <c r="U79" s="13"/>
      <c r="V79" s="5">
        <v>0.88</v>
      </c>
      <c r="W79" s="3">
        <v>0.82</v>
      </c>
      <c r="X79" s="3">
        <v>0.73</v>
      </c>
    </row>
    <row r="80" spans="2:24" x14ac:dyDescent="0.25">
      <c r="C80" s="25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7"/>
    </row>
    <row r="81" spans="3:24" x14ac:dyDescent="0.25">
      <c r="C81" s="23" t="s">
        <v>15</v>
      </c>
      <c r="D81" s="24"/>
      <c r="E81" s="16"/>
      <c r="F81" s="5">
        <v>0.77</v>
      </c>
      <c r="G81" s="3">
        <v>0.77</v>
      </c>
      <c r="H81" s="12">
        <v>0.68</v>
      </c>
      <c r="I81" s="13"/>
      <c r="J81" s="5">
        <v>0.79</v>
      </c>
      <c r="K81" s="3">
        <v>0.77</v>
      </c>
      <c r="L81" s="12">
        <v>0.68</v>
      </c>
      <c r="M81" s="13"/>
      <c r="N81" s="7">
        <v>0.79</v>
      </c>
      <c r="O81" s="3">
        <v>0.77</v>
      </c>
      <c r="P81" s="12">
        <v>0.68</v>
      </c>
      <c r="Q81" s="13"/>
      <c r="R81" s="5">
        <v>0.79</v>
      </c>
      <c r="S81" s="3">
        <v>0.75</v>
      </c>
      <c r="T81" s="12">
        <v>0.68</v>
      </c>
      <c r="U81" s="13"/>
      <c r="V81" s="5">
        <v>0.79</v>
      </c>
      <c r="W81" s="3">
        <v>0.72</v>
      </c>
      <c r="X81" s="3">
        <v>0.65</v>
      </c>
    </row>
  </sheetData>
  <mergeCells count="68">
    <mergeCell ref="C80:X80"/>
    <mergeCell ref="C81:D81"/>
    <mergeCell ref="C75:X75"/>
    <mergeCell ref="C76:D76"/>
    <mergeCell ref="C77:D77"/>
    <mergeCell ref="C78:D78"/>
    <mergeCell ref="C79:D79"/>
    <mergeCell ref="U68:X68"/>
    <mergeCell ref="C69:D69"/>
    <mergeCell ref="C70:D70"/>
    <mergeCell ref="C71:D71"/>
    <mergeCell ref="C73:D73"/>
    <mergeCell ref="C68:D68"/>
    <mergeCell ref="E68:H68"/>
    <mergeCell ref="I68:L68"/>
    <mergeCell ref="M68:P68"/>
    <mergeCell ref="Q68:T68"/>
    <mergeCell ref="C8:D8"/>
    <mergeCell ref="E8:H8"/>
    <mergeCell ref="I8:L8"/>
    <mergeCell ref="M8:P8"/>
    <mergeCell ref="Q8:T8"/>
    <mergeCell ref="U8:X8"/>
    <mergeCell ref="C9:D9"/>
    <mergeCell ref="C10:D10"/>
    <mergeCell ref="C11:D11"/>
    <mergeCell ref="C13:D13"/>
    <mergeCell ref="C15:X15"/>
    <mergeCell ref="C16:D16"/>
    <mergeCell ref="C17:D17"/>
    <mergeCell ref="C18:D18"/>
    <mergeCell ref="C19:D19"/>
    <mergeCell ref="C20:X20"/>
    <mergeCell ref="C21:D21"/>
    <mergeCell ref="U28:X28"/>
    <mergeCell ref="C29:D29"/>
    <mergeCell ref="C30:D30"/>
    <mergeCell ref="C31:D31"/>
    <mergeCell ref="Q28:T28"/>
    <mergeCell ref="C33:D33"/>
    <mergeCell ref="C28:D28"/>
    <mergeCell ref="E28:H28"/>
    <mergeCell ref="I28:L28"/>
    <mergeCell ref="M28:P28"/>
    <mergeCell ref="C35:X35"/>
    <mergeCell ref="C36:D36"/>
    <mergeCell ref="C37:D37"/>
    <mergeCell ref="C38:D38"/>
    <mergeCell ref="C39:D39"/>
    <mergeCell ref="C40:X40"/>
    <mergeCell ref="C41:D41"/>
    <mergeCell ref="C48:D48"/>
    <mergeCell ref="E48:H48"/>
    <mergeCell ref="I48:L48"/>
    <mergeCell ref="M48:P48"/>
    <mergeCell ref="Q48:T48"/>
    <mergeCell ref="U48:X48"/>
    <mergeCell ref="C49:D49"/>
    <mergeCell ref="C50:D50"/>
    <mergeCell ref="C51:D51"/>
    <mergeCell ref="C53:D53"/>
    <mergeCell ref="C55:X55"/>
    <mergeCell ref="C61:D61"/>
    <mergeCell ref="C56:D56"/>
    <mergeCell ref="C57:D57"/>
    <mergeCell ref="C58:D58"/>
    <mergeCell ref="C59:D59"/>
    <mergeCell ref="C60:X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Ahmed.Abdelbasset</dc:creator>
  <cp:lastModifiedBy>ahmed abdelbaset</cp:lastModifiedBy>
  <dcterms:created xsi:type="dcterms:W3CDTF">2015-06-05T18:17:20Z</dcterms:created>
  <dcterms:modified xsi:type="dcterms:W3CDTF">2025-12-02T16:26:05Z</dcterms:modified>
</cp:coreProperties>
</file>